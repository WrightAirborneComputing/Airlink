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y Drive\WAC\AAV\ReferencePayload\Airlink\"/>
    </mc:Choice>
  </mc:AlternateContent>
  <xr:revisionPtr revIDLastSave="0" documentId="13_ncr:1_{8441F72D-EC97-449A-93D9-FC1D832F0EB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omponents" sheetId="1" r:id="rId1"/>
    <sheet name="Pins" sheetId="7" r:id="rId2"/>
    <sheet name="Ground unit components" sheetId="3" r:id="rId3"/>
    <sheet name="Ground unit connections" sheetId="6" r:id="rId4"/>
    <sheet name="Air unit components" sheetId="8" r:id="rId5"/>
    <sheet name="Air unit connection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6" l="1"/>
  <c r="F36" i="6"/>
  <c r="E59" i="6"/>
  <c r="E36" i="6"/>
  <c r="C59" i="6"/>
  <c r="C36" i="6"/>
  <c r="F15" i="6"/>
  <c r="F14" i="6"/>
  <c r="F11" i="6"/>
  <c r="E15" i="6"/>
  <c r="E14" i="6"/>
  <c r="E11" i="6"/>
  <c r="C11" i="6"/>
  <c r="C14" i="6"/>
  <c r="E10" i="6"/>
  <c r="B38" i="6"/>
  <c r="B29" i="6"/>
  <c r="C15" i="6"/>
  <c r="C10" i="6"/>
  <c r="C25" i="2"/>
  <c r="E22" i="2"/>
  <c r="E23" i="2"/>
  <c r="C23" i="2"/>
  <c r="B30" i="2"/>
  <c r="B23" i="2"/>
  <c r="B4" i="2"/>
  <c r="B6" i="2"/>
  <c r="B11" i="2"/>
  <c r="B16" i="6"/>
  <c r="B7" i="6"/>
  <c r="F29" i="2"/>
  <c r="E29" i="2"/>
  <c r="F28" i="2"/>
  <c r="E28" i="2"/>
  <c r="C28" i="2"/>
  <c r="F27" i="2"/>
  <c r="E27" i="2"/>
  <c r="C27" i="2"/>
  <c r="F26" i="2"/>
  <c r="E26" i="2"/>
  <c r="C26" i="2"/>
  <c r="F25" i="2"/>
  <c r="E25" i="2"/>
  <c r="F24" i="2"/>
  <c r="E24" i="2"/>
  <c r="C24" i="2"/>
  <c r="B24" i="2"/>
  <c r="C22" i="2"/>
  <c r="F21" i="2"/>
  <c r="E21" i="2"/>
  <c r="C21" i="2"/>
  <c r="F20" i="2"/>
  <c r="E20" i="2"/>
  <c r="C20" i="2"/>
  <c r="F19" i="2"/>
  <c r="E19" i="2"/>
  <c r="C19" i="2"/>
  <c r="F18" i="2"/>
  <c r="E18" i="2"/>
  <c r="C18" i="2"/>
  <c r="F17" i="2"/>
  <c r="E17" i="2"/>
  <c r="C17" i="2"/>
  <c r="F16" i="2"/>
  <c r="E16" i="2"/>
  <c r="C16" i="2"/>
  <c r="F15" i="2"/>
  <c r="E15" i="2"/>
  <c r="C15" i="2"/>
  <c r="F14" i="2"/>
  <c r="E14" i="2"/>
  <c r="C14" i="2"/>
  <c r="F13" i="2"/>
  <c r="E13" i="2"/>
  <c r="C13" i="2"/>
  <c r="F12" i="2"/>
  <c r="E12" i="2"/>
  <c r="C12" i="2"/>
  <c r="F11" i="2"/>
  <c r="E11" i="2"/>
  <c r="C11" i="2"/>
  <c r="F10" i="2"/>
  <c r="E10" i="2"/>
  <c r="C10" i="2"/>
  <c r="F9" i="2"/>
  <c r="E9" i="2"/>
  <c r="C9" i="2"/>
  <c r="F8" i="2"/>
  <c r="E8" i="2"/>
  <c r="C8" i="2"/>
  <c r="F7" i="2"/>
  <c r="E7" i="2"/>
  <c r="C7" i="2"/>
  <c r="F6" i="2"/>
  <c r="E6" i="2"/>
  <c r="C6" i="2"/>
  <c r="F5" i="2"/>
  <c r="E5" i="2"/>
  <c r="C5" i="2"/>
  <c r="F4" i="2"/>
  <c r="E4" i="2"/>
  <c r="C4" i="2"/>
  <c r="C12" i="8"/>
  <c r="C11" i="8"/>
  <c r="C10" i="8"/>
  <c r="C9" i="8"/>
  <c r="C8" i="8"/>
  <c r="C7" i="8"/>
  <c r="C6" i="8"/>
  <c r="C5" i="8"/>
  <c r="C4" i="8"/>
  <c r="C3" i="8"/>
  <c r="E27" i="6"/>
  <c r="E28" i="6"/>
  <c r="C28" i="6"/>
  <c r="F72" i="6"/>
  <c r="F68" i="6"/>
  <c r="F70" i="6"/>
  <c r="C70" i="6"/>
  <c r="F69" i="6"/>
  <c r="C69" i="6"/>
  <c r="E72" i="6"/>
  <c r="E68" i="6"/>
  <c r="E70" i="6"/>
  <c r="E69" i="6"/>
  <c r="F71" i="6"/>
  <c r="F67" i="6"/>
  <c r="C67" i="6"/>
  <c r="C71" i="6"/>
  <c r="B67" i="6"/>
  <c r="E71" i="6"/>
  <c r="E67" i="6"/>
  <c r="F9" i="6"/>
  <c r="F13" i="6"/>
  <c r="E13" i="6"/>
  <c r="E9" i="6"/>
  <c r="C9" i="6"/>
  <c r="C13" i="6"/>
  <c r="E12" i="6"/>
  <c r="E6" i="6"/>
  <c r="E5" i="6"/>
  <c r="F44" i="6"/>
  <c r="F45" i="6"/>
  <c r="F46" i="6"/>
  <c r="F47" i="6"/>
  <c r="F48" i="6"/>
  <c r="F49" i="6"/>
  <c r="F43" i="6"/>
  <c r="F42" i="6"/>
  <c r="E43" i="6"/>
  <c r="E44" i="6"/>
  <c r="E45" i="6"/>
  <c r="E46" i="6"/>
  <c r="E47" i="6"/>
  <c r="E48" i="6"/>
  <c r="E49" i="6"/>
  <c r="E42" i="6"/>
  <c r="C42" i="6"/>
  <c r="F56" i="6"/>
  <c r="F55" i="6"/>
  <c r="F54" i="6"/>
  <c r="F53" i="6"/>
  <c r="F52" i="6"/>
  <c r="F33" i="6"/>
  <c r="F32" i="6"/>
  <c r="F31" i="6"/>
  <c r="E52" i="6"/>
  <c r="C52" i="6"/>
  <c r="F30" i="6"/>
  <c r="E30" i="6"/>
  <c r="F29" i="6"/>
  <c r="E56" i="6"/>
  <c r="E55" i="6"/>
  <c r="E33" i="6"/>
  <c r="E32" i="6"/>
  <c r="E54" i="6"/>
  <c r="E31" i="6"/>
  <c r="B40" i="6"/>
  <c r="E53" i="6"/>
  <c r="E29" i="6"/>
  <c r="C29" i="6"/>
  <c r="E19" i="6"/>
  <c r="E18" i="6"/>
  <c r="F17" i="6"/>
  <c r="F16" i="6"/>
  <c r="F19" i="6"/>
  <c r="F18" i="6"/>
  <c r="E17" i="6"/>
  <c r="E16" i="6"/>
  <c r="C19" i="6"/>
  <c r="C18" i="6"/>
  <c r="C17" i="6"/>
  <c r="C16" i="6"/>
  <c r="F12" i="6"/>
  <c r="C12" i="6"/>
  <c r="F8" i="6"/>
  <c r="E8" i="6"/>
  <c r="C8" i="6"/>
  <c r="E7" i="6"/>
  <c r="F7" i="6"/>
  <c r="C7" i="6"/>
  <c r="F5" i="6"/>
  <c r="F6" i="6"/>
  <c r="F4" i="6"/>
  <c r="E4" i="6"/>
  <c r="F3" i="6"/>
  <c r="E3" i="6"/>
  <c r="B5" i="6"/>
  <c r="B3" i="6"/>
  <c r="C6" i="6"/>
  <c r="C5" i="6"/>
  <c r="C4" i="6"/>
  <c r="C3" i="6"/>
  <c r="C30" i="3"/>
  <c r="C29" i="3"/>
  <c r="B66" i="6"/>
  <c r="B65" i="6"/>
  <c r="B63" i="6"/>
  <c r="F66" i="6"/>
  <c r="E66" i="6"/>
  <c r="C66" i="6"/>
  <c r="F65" i="6"/>
  <c r="E65" i="6"/>
  <c r="C65" i="6"/>
  <c r="F64" i="6"/>
  <c r="E64" i="6"/>
  <c r="C64" i="6"/>
  <c r="F63" i="6"/>
  <c r="E63" i="6"/>
  <c r="C63" i="6"/>
  <c r="C27" i="6"/>
  <c r="F51" i="6"/>
  <c r="F50" i="6"/>
  <c r="E50" i="6"/>
  <c r="E51" i="6"/>
  <c r="C51" i="6"/>
  <c r="C50" i="6"/>
  <c r="F41" i="6"/>
  <c r="E41" i="6"/>
  <c r="C41" i="6"/>
  <c r="F40" i="6"/>
  <c r="E40" i="6"/>
  <c r="C40" i="6"/>
  <c r="B51" i="6"/>
  <c r="B50" i="6"/>
  <c r="B52" i="6"/>
  <c r="E62" i="6"/>
  <c r="E61" i="6"/>
  <c r="B61" i="6"/>
  <c r="F62" i="6"/>
  <c r="C62" i="6"/>
  <c r="F61" i="6"/>
  <c r="C61" i="6"/>
  <c r="F38" i="6"/>
  <c r="F39" i="6"/>
  <c r="E39" i="6"/>
  <c r="E38" i="6"/>
  <c r="C39" i="6"/>
  <c r="C38" i="6"/>
  <c r="C34" i="6"/>
  <c r="C57" i="6"/>
  <c r="E37" i="6"/>
  <c r="E35" i="6"/>
  <c r="F37" i="6"/>
  <c r="C37" i="6"/>
  <c r="F60" i="6"/>
  <c r="E60" i="6"/>
  <c r="C60" i="6"/>
  <c r="F35" i="6"/>
  <c r="C35" i="6"/>
  <c r="C58" i="6"/>
  <c r="E58" i="6"/>
  <c r="F58" i="6"/>
  <c r="F57" i="6"/>
  <c r="E57" i="6"/>
  <c r="C23" i="6"/>
  <c r="E23" i="6"/>
  <c r="F23" i="6"/>
  <c r="C24" i="6"/>
  <c r="E24" i="6"/>
  <c r="F24" i="6"/>
  <c r="C25" i="6"/>
  <c r="E25" i="6"/>
  <c r="F25" i="6"/>
  <c r="C26" i="6"/>
  <c r="E26" i="6"/>
  <c r="F26" i="6"/>
  <c r="F22" i="6"/>
  <c r="E22" i="6"/>
  <c r="C22" i="6"/>
  <c r="C21" i="6"/>
  <c r="E21" i="6"/>
  <c r="F21" i="6"/>
  <c r="F20" i="6"/>
  <c r="E20" i="6"/>
  <c r="C25" i="3"/>
  <c r="C26" i="3"/>
  <c r="C27" i="3"/>
  <c r="C28" i="3"/>
  <c r="C24" i="3"/>
  <c r="C23" i="3"/>
  <c r="C22" i="3"/>
  <c r="C21" i="3"/>
  <c r="C20" i="6"/>
  <c r="B28" i="6"/>
  <c r="B65" i="7"/>
  <c r="B63" i="7"/>
  <c r="B48" i="7"/>
  <c r="B45" i="7"/>
  <c r="B42" i="7"/>
  <c r="B40" i="7"/>
  <c r="B38" i="7"/>
  <c r="B26" i="7"/>
  <c r="B30" i="7"/>
  <c r="B36" i="7"/>
  <c r="B24" i="7"/>
  <c r="B20" i="7"/>
  <c r="B16" i="7"/>
  <c r="B3" i="7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4" i="3"/>
  <c r="C3" i="3"/>
  <c r="C6" i="3"/>
  <c r="C5" i="3"/>
  <c r="F10" i="6" l="1"/>
</calcChain>
</file>

<file path=xl/sharedStrings.xml><?xml version="1.0" encoding="utf-8"?>
<sst xmlns="http://schemas.openxmlformats.org/spreadsheetml/2006/main" count="136" uniqueCount="99">
  <si>
    <t>Radiomaster AG01 NANO</t>
  </si>
  <si>
    <t>Raspberry Pi 4B</t>
  </si>
  <si>
    <t>Large switch</t>
  </si>
  <si>
    <t>Small switch</t>
  </si>
  <si>
    <t>Red LED</t>
  </si>
  <si>
    <t>Green LED</t>
  </si>
  <si>
    <t>Yellow LED</t>
  </si>
  <si>
    <t>XT30 socket</t>
  </si>
  <si>
    <t>XT60 socket</t>
  </si>
  <si>
    <t>Picam V3</t>
  </si>
  <si>
    <t>Type</t>
  </si>
  <si>
    <t>Component</t>
  </si>
  <si>
    <t>Left Joystick</t>
  </si>
  <si>
    <t>Right Joystick</t>
  </si>
  <si>
    <t>Alfa AWUS036ACH Dual Band USB Adaptor AC1200</t>
  </si>
  <si>
    <t>RPi</t>
  </si>
  <si>
    <t>Radio</t>
  </si>
  <si>
    <t>Right mode switch</t>
  </si>
  <si>
    <t>Left mode switch</t>
  </si>
  <si>
    <t>Raspberry Pi Pico 2</t>
  </si>
  <si>
    <t>Left spare switch</t>
  </si>
  <si>
    <t>Right spare switch</t>
  </si>
  <si>
    <t>Left kill switch</t>
  </si>
  <si>
    <t>Right kill switch</t>
  </si>
  <si>
    <t>Left IO processor</t>
  </si>
  <si>
    <t>Right IO processor</t>
  </si>
  <si>
    <t>Large power connector</t>
  </si>
  <si>
    <t>Small power connector</t>
  </si>
  <si>
    <t>470uF capacitor</t>
  </si>
  <si>
    <t>USB-A connector</t>
  </si>
  <si>
    <t>USB-C connector</t>
  </si>
  <si>
    <t>Capacitor</t>
  </si>
  <si>
    <t>RPi USB connector</t>
  </si>
  <si>
    <t>Radio USB connector</t>
  </si>
  <si>
    <t>MATEK MICRO BEC 6-60V TO 5V/9V/12V</t>
  </si>
  <si>
    <t>BEC</t>
  </si>
  <si>
    <t>Pin</t>
  </si>
  <si>
    <t>Pin-4 5V</t>
  </si>
  <si>
    <t>Pin-8 TX GPIO14</t>
  </si>
  <si>
    <t>Pin-1 3.3V</t>
  </si>
  <si>
    <t>Pin-38 GPIO20</t>
  </si>
  <si>
    <t>Pin-40 GPIO21</t>
  </si>
  <si>
    <t>Pin-29 GPIO5</t>
  </si>
  <si>
    <t>Pin-31 GPIO6</t>
  </si>
  <si>
    <t>Pin-33 GPIO13</t>
  </si>
  <si>
    <t>Pin-35 GPIO19</t>
  </si>
  <si>
    <t>Pin-37 GPIO26</t>
  </si>
  <si>
    <t>Pin-34 Gnd</t>
  </si>
  <si>
    <t>Pin-6 Gnd</t>
  </si>
  <si>
    <t>5V</t>
  </si>
  <si>
    <t>D-</t>
  </si>
  <si>
    <t>D+</t>
  </si>
  <si>
    <t>Gnd</t>
  </si>
  <si>
    <t>Plus</t>
  </si>
  <si>
    <t>Minus</t>
  </si>
  <si>
    <t>V-in</t>
  </si>
  <si>
    <t>Gnd1</t>
  </si>
  <si>
    <t>Gnd2</t>
  </si>
  <si>
    <t>V-out</t>
  </si>
  <si>
    <t>Horiz Gnd</t>
  </si>
  <si>
    <t>Horiz 5V</t>
  </si>
  <si>
    <t>Horiz Signal</t>
  </si>
  <si>
    <t>Vert 5V</t>
  </si>
  <si>
    <t>Vert Gnd</t>
  </si>
  <si>
    <t>Vert Signal</t>
  </si>
  <si>
    <t>Top</t>
  </si>
  <si>
    <t>Centre</t>
  </si>
  <si>
    <t>Bottom</t>
  </si>
  <si>
    <t>Vbus</t>
  </si>
  <si>
    <t>ADC_REF</t>
  </si>
  <si>
    <t>AGND</t>
  </si>
  <si>
    <t>GND1</t>
  </si>
  <si>
    <t>GND2</t>
  </si>
  <si>
    <t>GND3</t>
  </si>
  <si>
    <t>GP27_A1</t>
  </si>
  <si>
    <t>GP26_A0</t>
  </si>
  <si>
    <t>GP21</t>
  </si>
  <si>
    <t>GP20</t>
  </si>
  <si>
    <t>GP19</t>
  </si>
  <si>
    <t>GP18</t>
  </si>
  <si>
    <t>GP0</t>
  </si>
  <si>
    <t>GP1</t>
  </si>
  <si>
    <t>From</t>
  </si>
  <si>
    <t>To</t>
  </si>
  <si>
    <t>Pin-10 RX GPIO15</t>
  </si>
  <si>
    <t>Power-on LED</t>
  </si>
  <si>
    <t xml:space="preserve">RC LED </t>
  </si>
  <si>
    <t xml:space="preserve">Mavlink LED </t>
  </si>
  <si>
    <t>RSSI LED1</t>
  </si>
  <si>
    <t>RSSI LED2</t>
  </si>
  <si>
    <t>RSSI LED3</t>
  </si>
  <si>
    <t>RSSI LED4</t>
  </si>
  <si>
    <t>RSSI LED5</t>
  </si>
  <si>
    <t>GP13</t>
  </si>
  <si>
    <t>N/C</t>
  </si>
  <si>
    <t>N/A</t>
  </si>
  <si>
    <t>XT30 Power</t>
  </si>
  <si>
    <t>XT60 Power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</si>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</sst>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6" xfId="0" applyBorder="1"/>
    <xf numFmtId="0" fontId="0" fillId="0" borderId="3" xfId="0" applyBorder="1"/>
    <xf numFmtId="0" fontId="0" fillId="0" borderId="2" xfId="0" applyBorder="1"/>
    <xf numFmtId="0" fontId="0" fillId="0" borderId="7" xfId="0" applyBorder="1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3" xfId="0" applyFont="1" applyBorder="1"/>
    <xf numFmtId="0" fontId="0" fillId="0" borderId="2" xfId="0" applyBorder="1" applyAlignment="1">
      <alignment vertical="center"/>
    </xf>
    <xf numFmtId="0" fontId="1" fillId="0" borderId="2" xfId="0" applyFont="1" applyBorder="1"/>
    <xf numFmtId="0" fontId="1" fillId="0" borderId="7" xfId="0" applyFont="1" applyBorder="1"/>
    <xf numFmtId="0" fontId="0" fillId="0" borderId="1" xfId="0" applyBorder="1" applyAlignment="1">
      <alignment vertical="center"/>
    </xf>
    <xf numFmtId="0" fontId="1" fillId="0" borderId="1" xfId="0" applyFont="1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workbookViewId="0">
      <selection activeCell="F13" sqref="F13"/>
    </sheetView>
  </sheetViews>
  <sheetFormatPr defaultRowHeight="15" x14ac:dyDescent="0.25"/>
  <cols>
    <col min="2" max="2" width="45.85546875" bestFit="1" customWidth="1"/>
  </cols>
  <sheetData>
    <row r="2" spans="2:2" x14ac:dyDescent="0.25">
      <c r="B2" t="s">
        <v>14</v>
      </c>
    </row>
    <row r="3" spans="2:2" x14ac:dyDescent="0.25">
      <c r="B3" t="s">
        <v>1</v>
      </c>
    </row>
    <row r="4" spans="2:2" x14ac:dyDescent="0.25">
      <c r="B4" t="s">
        <v>0</v>
      </c>
    </row>
    <row r="5" spans="2:2" x14ac:dyDescent="0.25">
      <c r="B5" t="s">
        <v>19</v>
      </c>
    </row>
    <row r="6" spans="2:2" x14ac:dyDescent="0.25">
      <c r="B6" t="s">
        <v>2</v>
      </c>
    </row>
    <row r="7" spans="2:2" x14ac:dyDescent="0.25">
      <c r="B7" t="s">
        <v>3</v>
      </c>
    </row>
    <row r="8" spans="2:2" x14ac:dyDescent="0.25">
      <c r="B8" t="s">
        <v>4</v>
      </c>
    </row>
    <row r="9" spans="2:2" x14ac:dyDescent="0.25">
      <c r="B9" t="s">
        <v>5</v>
      </c>
    </row>
    <row r="10" spans="2:2" x14ac:dyDescent="0.25">
      <c r="B10" t="s">
        <v>6</v>
      </c>
    </row>
    <row r="11" spans="2:2" x14ac:dyDescent="0.25">
      <c r="B11" t="s">
        <v>7</v>
      </c>
    </row>
    <row r="12" spans="2:2" x14ac:dyDescent="0.25">
      <c r="B12" t="s">
        <v>8</v>
      </c>
    </row>
    <row r="13" spans="2:2" x14ac:dyDescent="0.25">
      <c r="B13" t="s">
        <v>9</v>
      </c>
    </row>
    <row r="14" spans="2:2" x14ac:dyDescent="0.25">
      <c r="B14" t="s">
        <v>28</v>
      </c>
    </row>
    <row r="15" spans="2:2" x14ac:dyDescent="0.25">
      <c r="B15" t="s">
        <v>29</v>
      </c>
    </row>
    <row r="16" spans="2:2" x14ac:dyDescent="0.25">
      <c r="B16" t="s">
        <v>30</v>
      </c>
    </row>
    <row r="17" spans="2:2" x14ac:dyDescent="0.25">
      <c r="B1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F8CB-FF1A-4A90-8836-173506037358}">
  <dimension ref="B3:C66"/>
  <sheetViews>
    <sheetView topLeftCell="A37" workbookViewId="0">
      <selection activeCell="C49" sqref="C49"/>
    </sheetView>
  </sheetViews>
  <sheetFormatPr defaultRowHeight="15" x14ac:dyDescent="0.25"/>
  <cols>
    <col min="2" max="2" width="36.42578125" bestFit="1" customWidth="1"/>
    <col min="3" max="3" width="15.140625" bestFit="1" customWidth="1"/>
  </cols>
  <sheetData>
    <row r="3" spans="2:3" x14ac:dyDescent="0.25">
      <c r="B3" s="22" t="str">
        <f>Components!B$3</f>
        <v>Raspberry Pi 4B</v>
      </c>
      <c r="C3" s="2" t="s">
        <v>39</v>
      </c>
    </row>
    <row r="4" spans="2:3" x14ac:dyDescent="0.25">
      <c r="B4" s="23"/>
      <c r="C4" s="2" t="s">
        <v>37</v>
      </c>
    </row>
    <row r="5" spans="2:3" x14ac:dyDescent="0.25">
      <c r="B5" s="23"/>
      <c r="C5" s="2" t="s">
        <v>48</v>
      </c>
    </row>
    <row r="6" spans="2:3" x14ac:dyDescent="0.25">
      <c r="B6" s="23"/>
      <c r="C6" s="2" t="s">
        <v>38</v>
      </c>
    </row>
    <row r="7" spans="2:3" x14ac:dyDescent="0.25">
      <c r="B7" s="23"/>
      <c r="C7" s="2" t="s">
        <v>84</v>
      </c>
    </row>
    <row r="8" spans="2:3" x14ac:dyDescent="0.25">
      <c r="B8" s="23"/>
      <c r="C8" s="2" t="s">
        <v>42</v>
      </c>
    </row>
    <row r="9" spans="2:3" x14ac:dyDescent="0.25">
      <c r="B9" s="23"/>
      <c r="C9" s="2" t="s">
        <v>43</v>
      </c>
    </row>
    <row r="10" spans="2:3" x14ac:dyDescent="0.25">
      <c r="B10" s="23"/>
      <c r="C10" s="2" t="s">
        <v>44</v>
      </c>
    </row>
    <row r="11" spans="2:3" x14ac:dyDescent="0.25">
      <c r="B11" s="23"/>
      <c r="C11" s="2" t="s">
        <v>47</v>
      </c>
    </row>
    <row r="12" spans="2:3" x14ac:dyDescent="0.25">
      <c r="B12" s="23"/>
      <c r="C12" s="2" t="s">
        <v>45</v>
      </c>
    </row>
    <row r="13" spans="2:3" x14ac:dyDescent="0.25">
      <c r="B13" s="23"/>
      <c r="C13" s="2" t="s">
        <v>46</v>
      </c>
    </row>
    <row r="14" spans="2:3" x14ac:dyDescent="0.25">
      <c r="B14" s="23"/>
      <c r="C14" s="2" t="s">
        <v>40</v>
      </c>
    </row>
    <row r="15" spans="2:3" x14ac:dyDescent="0.25">
      <c r="B15" s="24"/>
      <c r="C15" s="2" t="s">
        <v>41</v>
      </c>
    </row>
    <row r="16" spans="2:3" x14ac:dyDescent="0.25">
      <c r="B16" s="21" t="str">
        <f>Components!B$15</f>
        <v>USB-A connector</v>
      </c>
      <c r="C16" s="2" t="s">
        <v>49</v>
      </c>
    </row>
    <row r="17" spans="2:3" x14ac:dyDescent="0.25">
      <c r="B17" s="21"/>
      <c r="C17" s="2" t="s">
        <v>50</v>
      </c>
    </row>
    <row r="18" spans="2:3" x14ac:dyDescent="0.25">
      <c r="B18" s="21"/>
      <c r="C18" s="2" t="s">
        <v>51</v>
      </c>
    </row>
    <row r="19" spans="2:3" x14ac:dyDescent="0.25">
      <c r="B19" s="21"/>
      <c r="C19" s="2" t="s">
        <v>52</v>
      </c>
    </row>
    <row r="20" spans="2:3" x14ac:dyDescent="0.25">
      <c r="B20" s="21" t="str">
        <f>Components!B$16</f>
        <v>USB-C connector</v>
      </c>
      <c r="C20" s="2" t="s">
        <v>49</v>
      </c>
    </row>
    <row r="21" spans="2:3" x14ac:dyDescent="0.25">
      <c r="B21" s="21"/>
      <c r="C21" s="2" t="s">
        <v>50</v>
      </c>
    </row>
    <row r="22" spans="2:3" x14ac:dyDescent="0.25">
      <c r="B22" s="21"/>
      <c r="C22" s="2" t="s">
        <v>51</v>
      </c>
    </row>
    <row r="23" spans="2:3" x14ac:dyDescent="0.25">
      <c r="B23" s="21"/>
      <c r="C23" s="2" t="s">
        <v>52</v>
      </c>
    </row>
    <row r="24" spans="2:3" x14ac:dyDescent="0.25">
      <c r="B24" s="21" t="str">
        <f>Components!B$14</f>
        <v>470uF capacitor</v>
      </c>
      <c r="C24" s="2" t="s">
        <v>53</v>
      </c>
    </row>
    <row r="25" spans="2:3" x14ac:dyDescent="0.25">
      <c r="B25" s="21"/>
      <c r="C25" s="2" t="s">
        <v>54</v>
      </c>
    </row>
    <row r="26" spans="2:3" x14ac:dyDescent="0.25">
      <c r="B26" s="21" t="str">
        <f>Components!B$17</f>
        <v>MATEK MICRO BEC 6-60V TO 5V/9V/12V</v>
      </c>
      <c r="C26" s="2" t="s">
        <v>55</v>
      </c>
    </row>
    <row r="27" spans="2:3" x14ac:dyDescent="0.25">
      <c r="B27" s="21"/>
      <c r="C27" s="2" t="s">
        <v>56</v>
      </c>
    </row>
    <row r="28" spans="2:3" x14ac:dyDescent="0.25">
      <c r="B28" s="21"/>
      <c r="C28" s="2" t="s">
        <v>57</v>
      </c>
    </row>
    <row r="29" spans="2:3" x14ac:dyDescent="0.25">
      <c r="B29" s="21"/>
      <c r="C29" s="2" t="s">
        <v>58</v>
      </c>
    </row>
    <row r="30" spans="2:3" x14ac:dyDescent="0.25">
      <c r="B30" s="21" t="str">
        <f>Components!B$4</f>
        <v>Radiomaster AG01 NANO</v>
      </c>
      <c r="C30" s="2" t="s">
        <v>60</v>
      </c>
    </row>
    <row r="31" spans="2:3" x14ac:dyDescent="0.25">
      <c r="B31" s="21"/>
      <c r="C31" s="2" t="s">
        <v>59</v>
      </c>
    </row>
    <row r="32" spans="2:3" x14ac:dyDescent="0.25">
      <c r="B32" s="21"/>
      <c r="C32" s="2" t="s">
        <v>61</v>
      </c>
    </row>
    <row r="33" spans="2:3" x14ac:dyDescent="0.25">
      <c r="B33" s="21"/>
      <c r="C33" s="2" t="s">
        <v>62</v>
      </c>
    </row>
    <row r="34" spans="2:3" x14ac:dyDescent="0.25">
      <c r="B34" s="21"/>
      <c r="C34" s="2" t="s">
        <v>63</v>
      </c>
    </row>
    <row r="35" spans="2:3" x14ac:dyDescent="0.25">
      <c r="B35" s="21"/>
      <c r="C35" s="2" t="s">
        <v>64</v>
      </c>
    </row>
    <row r="36" spans="2:3" x14ac:dyDescent="0.25">
      <c r="B36" s="21" t="str">
        <f>Components!B$8</f>
        <v>Red LED</v>
      </c>
      <c r="C36" s="2" t="s">
        <v>53</v>
      </c>
    </row>
    <row r="37" spans="2:3" x14ac:dyDescent="0.25">
      <c r="B37" s="21"/>
      <c r="C37" s="2" t="s">
        <v>54</v>
      </c>
    </row>
    <row r="38" spans="2:3" x14ac:dyDescent="0.25">
      <c r="B38" s="21" t="str">
        <f>Components!B$9</f>
        <v>Green LED</v>
      </c>
      <c r="C38" s="2" t="s">
        <v>53</v>
      </c>
    </row>
    <row r="39" spans="2:3" x14ac:dyDescent="0.25">
      <c r="B39" s="21"/>
      <c r="C39" s="2" t="s">
        <v>54</v>
      </c>
    </row>
    <row r="40" spans="2:3" x14ac:dyDescent="0.25">
      <c r="B40" s="21" t="str">
        <f>Components!B$10</f>
        <v>Yellow LED</v>
      </c>
      <c r="C40" s="2" t="s">
        <v>53</v>
      </c>
    </row>
    <row r="41" spans="2:3" x14ac:dyDescent="0.25">
      <c r="B41" s="21"/>
      <c r="C41" s="2" t="s">
        <v>54</v>
      </c>
    </row>
    <row r="42" spans="2:3" x14ac:dyDescent="0.25">
      <c r="B42" s="21" t="str">
        <f>Components!B$6</f>
        <v>Large switch</v>
      </c>
      <c r="C42" s="2" t="s">
        <v>65</v>
      </c>
    </row>
    <row r="43" spans="2:3" x14ac:dyDescent="0.25">
      <c r="B43" s="21"/>
      <c r="C43" s="2" t="s">
        <v>66</v>
      </c>
    </row>
    <row r="44" spans="2:3" x14ac:dyDescent="0.25">
      <c r="B44" s="21"/>
      <c r="C44" s="2" t="s">
        <v>67</v>
      </c>
    </row>
    <row r="45" spans="2:3" x14ac:dyDescent="0.25">
      <c r="B45" s="21" t="str">
        <f>Components!B$7</f>
        <v>Small switch</v>
      </c>
      <c r="C45" s="2" t="s">
        <v>65</v>
      </c>
    </row>
    <row r="46" spans="2:3" x14ac:dyDescent="0.25">
      <c r="B46" s="21"/>
      <c r="C46" s="2" t="s">
        <v>66</v>
      </c>
    </row>
    <row r="47" spans="2:3" x14ac:dyDescent="0.25">
      <c r="B47" s="21"/>
      <c r="C47" s="2" t="s">
        <v>67</v>
      </c>
    </row>
    <row r="48" spans="2:3" x14ac:dyDescent="0.25">
      <c r="B48" s="21" t="str">
        <f>Components!B$5</f>
        <v>Raspberry Pi Pico 2</v>
      </c>
      <c r="C48" s="2" t="s">
        <v>68</v>
      </c>
    </row>
    <row r="49" spans="2:3" x14ac:dyDescent="0.25">
      <c r="B49" s="21"/>
      <c r="C49" s="2" t="s">
        <v>71</v>
      </c>
    </row>
    <row r="50" spans="2:3" x14ac:dyDescent="0.25">
      <c r="B50" s="21"/>
      <c r="C50" s="2" t="s">
        <v>72</v>
      </c>
    </row>
    <row r="51" spans="2:3" x14ac:dyDescent="0.25">
      <c r="B51" s="21"/>
      <c r="C51" s="2" t="s">
        <v>73</v>
      </c>
    </row>
    <row r="52" spans="2:3" x14ac:dyDescent="0.25">
      <c r="B52" s="21"/>
      <c r="C52" s="2" t="s">
        <v>69</v>
      </c>
    </row>
    <row r="53" spans="2:3" x14ac:dyDescent="0.25">
      <c r="B53" s="21"/>
      <c r="C53" s="2" t="s">
        <v>70</v>
      </c>
    </row>
    <row r="54" spans="2:3" x14ac:dyDescent="0.25">
      <c r="B54" s="21"/>
      <c r="C54" s="2" t="s">
        <v>74</v>
      </c>
    </row>
    <row r="55" spans="2:3" x14ac:dyDescent="0.25">
      <c r="B55" s="21"/>
      <c r="C55" s="2" t="s">
        <v>75</v>
      </c>
    </row>
    <row r="56" spans="2:3" x14ac:dyDescent="0.25">
      <c r="B56" s="21"/>
      <c r="C56" s="2" t="s">
        <v>76</v>
      </c>
    </row>
    <row r="57" spans="2:3" x14ac:dyDescent="0.25">
      <c r="B57" s="21"/>
      <c r="C57" s="2" t="s">
        <v>77</v>
      </c>
    </row>
    <row r="58" spans="2:3" x14ac:dyDescent="0.25">
      <c r="B58" s="21"/>
      <c r="C58" s="2" t="s">
        <v>78</v>
      </c>
    </row>
    <row r="59" spans="2:3" x14ac:dyDescent="0.25">
      <c r="B59" s="21"/>
      <c r="C59" s="2" t="s">
        <v>79</v>
      </c>
    </row>
    <row r="60" spans="2:3" x14ac:dyDescent="0.25">
      <c r="B60" s="21"/>
      <c r="C60" s="2" t="s">
        <v>93</v>
      </c>
    </row>
    <row r="61" spans="2:3" x14ac:dyDescent="0.25">
      <c r="B61" s="21"/>
      <c r="C61" s="2" t="s">
        <v>80</v>
      </c>
    </row>
    <row r="62" spans="2:3" x14ac:dyDescent="0.25">
      <c r="B62" s="21"/>
      <c r="C62" s="2" t="s">
        <v>81</v>
      </c>
    </row>
    <row r="63" spans="2:3" x14ac:dyDescent="0.25">
      <c r="B63" s="21" t="str">
        <f>Components!B$11</f>
        <v>XT30 socket</v>
      </c>
      <c r="C63" s="2" t="s">
        <v>53</v>
      </c>
    </row>
    <row r="64" spans="2:3" x14ac:dyDescent="0.25">
      <c r="B64" s="21"/>
      <c r="C64" s="2" t="s">
        <v>54</v>
      </c>
    </row>
    <row r="65" spans="2:3" x14ac:dyDescent="0.25">
      <c r="B65" s="21" t="str">
        <f>Components!B$12</f>
        <v>XT60 socket</v>
      </c>
      <c r="C65" s="2" t="s">
        <v>53</v>
      </c>
    </row>
    <row r="66" spans="2:3" x14ac:dyDescent="0.25">
      <c r="B66" s="21"/>
      <c r="C66" s="2" t="s">
        <v>54</v>
      </c>
    </row>
  </sheetData>
  <mergeCells count="14">
    <mergeCell ref="B30:B35"/>
    <mergeCell ref="B3:B15"/>
    <mergeCell ref="B16:B19"/>
    <mergeCell ref="B20:B23"/>
    <mergeCell ref="B24:B25"/>
    <mergeCell ref="B26:B29"/>
    <mergeCell ref="B63:B64"/>
    <mergeCell ref="B65:B66"/>
    <mergeCell ref="B36:B37"/>
    <mergeCell ref="B38:B39"/>
    <mergeCell ref="B40:B41"/>
    <mergeCell ref="B42:B44"/>
    <mergeCell ref="B45:B47"/>
    <mergeCell ref="B48:B6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35E3-033F-41EB-9B76-AAA2370F3DE2}">
  <dimension ref="B2:C30"/>
  <sheetViews>
    <sheetView workbookViewId="0">
      <selection activeCell="B2" sqref="B2:C30"/>
    </sheetView>
  </sheetViews>
  <sheetFormatPr defaultRowHeight="15" x14ac:dyDescent="0.25"/>
  <cols>
    <col min="2" max="2" width="21.5703125" bestFit="1" customWidth="1"/>
    <col min="3" max="3" width="45.85546875" bestFit="1" customWidth="1"/>
  </cols>
  <sheetData>
    <row r="2" spans="2:3" x14ac:dyDescent="0.25">
      <c r="B2" s="1" t="s">
        <v>11</v>
      </c>
      <c r="C2" s="1" t="s">
        <v>10</v>
      </c>
    </row>
    <row r="3" spans="2:3" x14ac:dyDescent="0.25">
      <c r="B3" t="s">
        <v>15</v>
      </c>
      <c r="C3" t="str">
        <f>Components!B$3</f>
        <v>Raspberry Pi 4B</v>
      </c>
    </row>
    <row r="4" spans="2:3" x14ac:dyDescent="0.25">
      <c r="B4" t="s">
        <v>16</v>
      </c>
      <c r="C4" t="str">
        <f>Components!B$2</f>
        <v>Alfa AWUS036ACH Dual Band USB Adaptor AC1200</v>
      </c>
    </row>
    <row r="5" spans="2:3" x14ac:dyDescent="0.25">
      <c r="B5" t="s">
        <v>12</v>
      </c>
      <c r="C5" t="str">
        <f>Components!B$4</f>
        <v>Radiomaster AG01 NANO</v>
      </c>
    </row>
    <row r="6" spans="2:3" x14ac:dyDescent="0.25">
      <c r="B6" t="s">
        <v>13</v>
      </c>
      <c r="C6" t="str">
        <f>Components!B$4</f>
        <v>Radiomaster AG01 NANO</v>
      </c>
    </row>
    <row r="7" spans="2:3" x14ac:dyDescent="0.25">
      <c r="B7" t="s">
        <v>18</v>
      </c>
      <c r="C7" t="str">
        <f>Components!B$6</f>
        <v>Large switch</v>
      </c>
    </row>
    <row r="8" spans="2:3" x14ac:dyDescent="0.25">
      <c r="B8" t="s">
        <v>17</v>
      </c>
      <c r="C8" t="str">
        <f>Components!B$6</f>
        <v>Large switch</v>
      </c>
    </row>
    <row r="9" spans="2:3" x14ac:dyDescent="0.25">
      <c r="B9" t="s">
        <v>20</v>
      </c>
      <c r="C9" t="str">
        <f>Components!B$7</f>
        <v>Small switch</v>
      </c>
    </row>
    <row r="10" spans="2:3" x14ac:dyDescent="0.25">
      <c r="B10" t="s">
        <v>21</v>
      </c>
      <c r="C10" t="str">
        <f>Components!B$7</f>
        <v>Small switch</v>
      </c>
    </row>
    <row r="11" spans="2:3" x14ac:dyDescent="0.25">
      <c r="B11" t="s">
        <v>22</v>
      </c>
      <c r="C11" t="str">
        <f>Components!B$7</f>
        <v>Small switch</v>
      </c>
    </row>
    <row r="12" spans="2:3" x14ac:dyDescent="0.25">
      <c r="B12" t="s">
        <v>23</v>
      </c>
      <c r="C12" t="str">
        <f>Components!B$7</f>
        <v>Small switch</v>
      </c>
    </row>
    <row r="13" spans="2:3" x14ac:dyDescent="0.25">
      <c r="B13" t="s">
        <v>24</v>
      </c>
      <c r="C13" t="str">
        <f>Components!B$5</f>
        <v>Raspberry Pi Pico 2</v>
      </c>
    </row>
    <row r="14" spans="2:3" x14ac:dyDescent="0.25">
      <c r="B14" t="s">
        <v>25</v>
      </c>
      <c r="C14" t="str">
        <f>Components!B$5</f>
        <v>Raspberry Pi Pico 2</v>
      </c>
    </row>
    <row r="15" spans="2:3" x14ac:dyDescent="0.25">
      <c r="B15" t="s">
        <v>26</v>
      </c>
      <c r="C15" t="str">
        <f>Components!B$12</f>
        <v>XT60 socket</v>
      </c>
    </row>
    <row r="16" spans="2:3" x14ac:dyDescent="0.25">
      <c r="B16" t="s">
        <v>27</v>
      </c>
      <c r="C16" t="str">
        <f>Components!B$11</f>
        <v>XT30 socket</v>
      </c>
    </row>
    <row r="17" spans="2:3" x14ac:dyDescent="0.25">
      <c r="B17" t="s">
        <v>31</v>
      </c>
      <c r="C17" t="str">
        <f>Components!B$14</f>
        <v>470uF capacitor</v>
      </c>
    </row>
    <row r="18" spans="2:3" x14ac:dyDescent="0.25">
      <c r="B18" t="s">
        <v>32</v>
      </c>
      <c r="C18" t="str">
        <f>Components!B$15</f>
        <v>USB-A connector</v>
      </c>
    </row>
    <row r="19" spans="2:3" x14ac:dyDescent="0.25">
      <c r="B19" t="s">
        <v>33</v>
      </c>
      <c r="C19" t="str">
        <f>Components!B$16</f>
        <v>USB-C connector</v>
      </c>
    </row>
    <row r="20" spans="2:3" x14ac:dyDescent="0.25">
      <c r="B20" t="s">
        <v>35</v>
      </c>
      <c r="C20" t="str">
        <f>Components!B$17</f>
        <v>MATEK MICRO BEC 6-60V TO 5V/9V/12V</v>
      </c>
    </row>
    <row r="21" spans="2:3" x14ac:dyDescent="0.25">
      <c r="B21" t="s">
        <v>85</v>
      </c>
      <c r="C21" t="str">
        <f>Components!$B$8</f>
        <v>Red LED</v>
      </c>
    </row>
    <row r="22" spans="2:3" x14ac:dyDescent="0.25">
      <c r="B22" t="s">
        <v>86</v>
      </c>
      <c r="C22" t="str">
        <f>Components!$B$9</f>
        <v>Green LED</v>
      </c>
    </row>
    <row r="23" spans="2:3" x14ac:dyDescent="0.25">
      <c r="B23" t="s">
        <v>87</v>
      </c>
      <c r="C23" t="str">
        <f>Components!$B$9</f>
        <v>Green LED</v>
      </c>
    </row>
    <row r="24" spans="2:3" x14ac:dyDescent="0.25">
      <c r="B24" t="s">
        <v>88</v>
      </c>
      <c r="C24" t="str">
        <f>Components!$B$10</f>
        <v>Yellow LED</v>
      </c>
    </row>
    <row r="25" spans="2:3" x14ac:dyDescent="0.25">
      <c r="B25" t="s">
        <v>89</v>
      </c>
      <c r="C25" t="str">
        <f>Components!$B$10</f>
        <v>Yellow LED</v>
      </c>
    </row>
    <row r="26" spans="2:3" x14ac:dyDescent="0.25">
      <c r="B26" t="s">
        <v>90</v>
      </c>
      <c r="C26" t="str">
        <f>Components!$B$10</f>
        <v>Yellow LED</v>
      </c>
    </row>
    <row r="27" spans="2:3" x14ac:dyDescent="0.25">
      <c r="B27" t="s">
        <v>91</v>
      </c>
      <c r="C27" t="str">
        <f>Components!$B$10</f>
        <v>Yellow LED</v>
      </c>
    </row>
    <row r="28" spans="2:3" x14ac:dyDescent="0.25">
      <c r="B28" t="s">
        <v>92</v>
      </c>
      <c r="C28" t="str">
        <f>Components!$B$10</f>
        <v>Yellow LED</v>
      </c>
    </row>
    <row r="29" spans="2:3" x14ac:dyDescent="0.25">
      <c r="B29" t="s">
        <v>96</v>
      </c>
      <c r="C29" t="str">
        <f>Components!$B$11</f>
        <v>XT30 socket</v>
      </c>
    </row>
    <row r="30" spans="2:3" x14ac:dyDescent="0.25">
      <c r="B30" t="s">
        <v>97</v>
      </c>
      <c r="C30" t="str">
        <f>Components!$B$12</f>
        <v>XT60 socket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5848-60EC-485C-AAF3-785AE0EFCE44}">
  <dimension ref="B1:F72"/>
  <sheetViews>
    <sheetView tabSelected="1" topLeftCell="A30" zoomScaleNormal="100" workbookViewId="0">
      <selection activeCell="T40" sqref="T40"/>
    </sheetView>
  </sheetViews>
  <sheetFormatPr defaultRowHeight="15" x14ac:dyDescent="0.25"/>
  <cols>
    <col min="2" max="2" width="19.42578125" bestFit="1" customWidth="1"/>
    <col min="3" max="3" width="16.7109375" customWidth="1"/>
    <col min="4" max="4" width="2.28515625" customWidth="1"/>
    <col min="5" max="5" width="19.42578125" bestFit="1" customWidth="1"/>
    <col min="6" max="6" width="16.28515625" bestFit="1" customWidth="1"/>
  </cols>
  <sheetData>
    <row r="1" spans="2:6" x14ac:dyDescent="0.25">
      <c r="B1" s="17" t="s">
        <v>82</v>
      </c>
      <c r="C1" s="17"/>
      <c r="D1" s="3"/>
      <c r="E1" s="17" t="s">
        <v>83</v>
      </c>
      <c r="F1" s="17"/>
    </row>
    <row r="2" spans="2:6" x14ac:dyDescent="0.25">
      <c r="B2" s="3" t="s">
        <v>11</v>
      </c>
      <c r="C2" s="3" t="s">
        <v>36</v>
      </c>
      <c r="D2" s="12"/>
      <c r="E2" s="3" t="s">
        <v>11</v>
      </c>
      <c r="F2" s="3" t="s">
        <v>36</v>
      </c>
    </row>
    <row r="3" spans="2:6" x14ac:dyDescent="0.25">
      <c r="B3" s="18" t="str">
        <f>'Ground unit components'!$B$29</f>
        <v>XT30 Power</v>
      </c>
      <c r="C3" s="5" t="str">
        <f>Pins!$C$63</f>
        <v>Plus</v>
      </c>
      <c r="D3" s="14"/>
      <c r="E3" s="5" t="str">
        <f>'Ground unit components'!$B$30</f>
        <v>XT60 Power</v>
      </c>
      <c r="F3" s="5" t="str">
        <f>Pins!$C$65</f>
        <v>Plus</v>
      </c>
    </row>
    <row r="4" spans="2:6" x14ac:dyDescent="0.25">
      <c r="B4" s="19"/>
      <c r="C4" s="6" t="str">
        <f>Pins!$C$64</f>
        <v>Minus</v>
      </c>
      <c r="D4" s="14"/>
      <c r="E4" s="6" t="str">
        <f>'Ground unit components'!$B$30</f>
        <v>XT60 Power</v>
      </c>
      <c r="F4" s="6" t="str">
        <f>Pins!$C$66</f>
        <v>Minus</v>
      </c>
    </row>
    <row r="5" spans="2:6" x14ac:dyDescent="0.25">
      <c r="B5" s="18" t="str">
        <f>'Ground unit components'!$B$30</f>
        <v>XT60 Power</v>
      </c>
      <c r="C5" s="5" t="str">
        <f>Pins!$C$65</f>
        <v>Plus</v>
      </c>
      <c r="D5" s="14"/>
      <c r="E5" s="10" t="str">
        <f>'Ground unit components'!$B$20</f>
        <v>BEC</v>
      </c>
      <c r="F5" s="5" t="str">
        <f>Pins!$C$26</f>
        <v>V-in</v>
      </c>
    </row>
    <row r="6" spans="2:6" x14ac:dyDescent="0.25">
      <c r="B6" s="20"/>
      <c r="C6" s="7" t="str">
        <f>Pins!$C$66</f>
        <v>Minus</v>
      </c>
      <c r="D6" s="15"/>
      <c r="E6" s="11" t="str">
        <f>'Ground unit components'!$B$20</f>
        <v>BEC</v>
      </c>
      <c r="F6" s="7" t="str">
        <f>Pins!$C$27</f>
        <v>Gnd1</v>
      </c>
    </row>
    <row r="7" spans="2:6" x14ac:dyDescent="0.25">
      <c r="B7" s="18" t="str">
        <f>'Ground unit components'!$B$20</f>
        <v>BEC</v>
      </c>
      <c r="C7" s="5" t="str">
        <f>Pins!$C$27</f>
        <v>Gnd1</v>
      </c>
      <c r="D7" s="14"/>
      <c r="E7" t="str">
        <f>'Ground unit components'!$B$20</f>
        <v>BEC</v>
      </c>
      <c r="F7" s="5" t="str">
        <f>Pins!$C$28</f>
        <v>Gnd2</v>
      </c>
    </row>
    <row r="8" spans="2:6" x14ac:dyDescent="0.25">
      <c r="B8" s="19"/>
      <c r="C8" s="6" t="str">
        <f>Pins!$C$29</f>
        <v>V-out</v>
      </c>
      <c r="D8" s="14"/>
      <c r="E8" s="13" t="str">
        <f>'Ground unit components'!$B$3</f>
        <v>RPi</v>
      </c>
      <c r="F8" s="6" t="str">
        <f>Pins!$C$4</f>
        <v>Pin-4 5V</v>
      </c>
    </row>
    <row r="9" spans="2:6" x14ac:dyDescent="0.25">
      <c r="B9" s="19"/>
      <c r="C9" s="6" t="str">
        <f>Pins!$C$29</f>
        <v>V-out</v>
      </c>
      <c r="D9" s="14"/>
      <c r="E9" s="13" t="str">
        <f>'Ground unit components'!$B$19</f>
        <v>Radio USB connector</v>
      </c>
      <c r="F9" s="6" t="str">
        <f>Pins!C16</f>
        <v>5V</v>
      </c>
    </row>
    <row r="10" spans="2:6" x14ac:dyDescent="0.25">
      <c r="B10" s="19"/>
      <c r="C10" s="6" t="str">
        <f>Pins!$C$29</f>
        <v>V-out</v>
      </c>
      <c r="D10" s="14"/>
      <c r="E10" s="13" t="str">
        <f>'Ground unit components'!$B$13</f>
        <v>Left IO processor</v>
      </c>
      <c r="F10" s="6" t="str">
        <f>C36</f>
        <v>Vbus</v>
      </c>
    </row>
    <row r="11" spans="2:6" x14ac:dyDescent="0.25">
      <c r="B11" s="19"/>
      <c r="C11" s="6" t="str">
        <f>Pins!$C$29</f>
        <v>V-out</v>
      </c>
      <c r="D11" s="14"/>
      <c r="E11" s="13" t="str">
        <f>'Ground unit components'!$B$14</f>
        <v>Right IO processor</v>
      </c>
      <c r="F11" s="6" t="str">
        <f>Pins!$C$48</f>
        <v>Vbus</v>
      </c>
    </row>
    <row r="12" spans="2:6" x14ac:dyDescent="0.25">
      <c r="B12" s="19"/>
      <c r="C12" s="6" t="str">
        <f>Pins!$C$28</f>
        <v>Gnd2</v>
      </c>
      <c r="D12" s="14"/>
      <c r="E12" s="13" t="str">
        <f>'Ground unit components'!$B$3</f>
        <v>RPi</v>
      </c>
      <c r="F12" s="6" t="str">
        <f>Pins!$C$5</f>
        <v>Pin-6 Gnd</v>
      </c>
    </row>
    <row r="13" spans="2:6" x14ac:dyDescent="0.25">
      <c r="B13" s="19"/>
      <c r="C13" s="6" t="str">
        <f>Pins!$C$28</f>
        <v>Gnd2</v>
      </c>
      <c r="D13" s="14"/>
      <c r="E13" s="13" t="str">
        <f>'Ground unit components'!$B$19</f>
        <v>Radio USB connector</v>
      </c>
      <c r="F13" s="6" t="str">
        <f>Pins!C19</f>
        <v>Gnd</v>
      </c>
    </row>
    <row r="14" spans="2:6" x14ac:dyDescent="0.25">
      <c r="B14" s="19"/>
      <c r="C14" s="6" t="str">
        <f>Pins!$C$28</f>
        <v>Gnd2</v>
      </c>
      <c r="D14" s="14"/>
      <c r="E14" s="13" t="str">
        <f>'Ground unit components'!$B$13</f>
        <v>Left IO processor</v>
      </c>
      <c r="F14" s="6" t="str">
        <f>Pins!$C$49</f>
        <v>GND1</v>
      </c>
    </row>
    <row r="15" spans="2:6" x14ac:dyDescent="0.25">
      <c r="B15" s="19"/>
      <c r="C15" s="6" t="str">
        <f>Pins!$C$28</f>
        <v>Gnd2</v>
      </c>
      <c r="D15" s="14"/>
      <c r="E15" s="13" t="str">
        <f>'Ground unit components'!$B$14</f>
        <v>Right IO processor</v>
      </c>
      <c r="F15" s="6" t="str">
        <f>Pins!$C$49</f>
        <v>GND1</v>
      </c>
    </row>
    <row r="16" spans="2:6" x14ac:dyDescent="0.25">
      <c r="B16" s="18" t="str">
        <f>'Ground unit components'!B3</f>
        <v>RPi</v>
      </c>
      <c r="C16" s="5" t="str">
        <f>Pins!$C$4</f>
        <v>Pin-4 5V</v>
      </c>
      <c r="D16" s="12"/>
      <c r="E16" s="5" t="str">
        <f>'Ground unit components'!$B$13</f>
        <v>Left IO processor</v>
      </c>
      <c r="F16" s="5" t="str">
        <f>Pins!$C$48</f>
        <v>Vbus</v>
      </c>
    </row>
    <row r="17" spans="2:6" x14ac:dyDescent="0.25">
      <c r="B17" s="19"/>
      <c r="C17" s="6" t="str">
        <f>Pins!$C$4</f>
        <v>Pin-4 5V</v>
      </c>
      <c r="D17" s="14"/>
      <c r="E17" s="6" t="str">
        <f>'Ground unit components'!$B$14</f>
        <v>Right IO processor</v>
      </c>
      <c r="F17" s="6" t="str">
        <f>Pins!$C$48</f>
        <v>Vbus</v>
      </c>
    </row>
    <row r="18" spans="2:6" x14ac:dyDescent="0.25">
      <c r="B18" s="19"/>
      <c r="C18" s="6" t="str">
        <f>Pins!$C$5</f>
        <v>Pin-6 Gnd</v>
      </c>
      <c r="D18" s="14"/>
      <c r="E18" s="6" t="str">
        <f>'Ground unit components'!$B$13</f>
        <v>Left IO processor</v>
      </c>
      <c r="F18" s="6" t="str">
        <f>Pins!$C$49</f>
        <v>GND1</v>
      </c>
    </row>
    <row r="19" spans="2:6" x14ac:dyDescent="0.25">
      <c r="B19" s="19"/>
      <c r="C19" s="6" t="str">
        <f>Pins!$C$5</f>
        <v>Pin-6 Gnd</v>
      </c>
      <c r="D19" s="14"/>
      <c r="E19" s="6" t="str">
        <f>'Ground unit components'!$B$14</f>
        <v>Right IO processor</v>
      </c>
      <c r="F19" s="6" t="str">
        <f>Pins!$C$49</f>
        <v>GND1</v>
      </c>
    </row>
    <row r="20" spans="2:6" x14ac:dyDescent="0.25">
      <c r="B20" s="19"/>
      <c r="C20" s="6" t="str">
        <f>Pins!$C$14</f>
        <v>Pin-38 GPIO20</v>
      </c>
      <c r="D20" s="6"/>
      <c r="E20" s="6" t="str">
        <f>'Ground unit components'!$B$22</f>
        <v xml:space="preserve">RC LED </v>
      </c>
      <c r="F20" s="6" t="str">
        <f>Pins!$C$38</f>
        <v>Plus</v>
      </c>
    </row>
    <row r="21" spans="2:6" x14ac:dyDescent="0.25">
      <c r="B21" s="19"/>
      <c r="C21" s="6" t="str">
        <f>Pins!$C$15</f>
        <v>Pin-40 GPIO21</v>
      </c>
      <c r="D21" s="6"/>
      <c r="E21" s="6" t="str">
        <f>'Ground unit components'!$B$23</f>
        <v xml:space="preserve">Mavlink LED </v>
      </c>
      <c r="F21" s="6" t="str">
        <f>Pins!$C$38</f>
        <v>Plus</v>
      </c>
    </row>
    <row r="22" spans="2:6" x14ac:dyDescent="0.25">
      <c r="B22" s="19"/>
      <c r="C22" s="6" t="str">
        <f>Pins!C8</f>
        <v>Pin-29 GPIO5</v>
      </c>
      <c r="D22" s="6"/>
      <c r="E22" s="6" t="str">
        <f>'Ground unit components'!B24</f>
        <v>RSSI LED1</v>
      </c>
      <c r="F22" s="6" t="str">
        <f>Pins!$C$40</f>
        <v>Plus</v>
      </c>
    </row>
    <row r="23" spans="2:6" x14ac:dyDescent="0.25">
      <c r="B23" s="19"/>
      <c r="C23" s="6" t="str">
        <f>Pins!C9</f>
        <v>Pin-31 GPIO6</v>
      </c>
      <c r="D23" s="6"/>
      <c r="E23" s="6" t="str">
        <f>'Ground unit components'!B25</f>
        <v>RSSI LED2</v>
      </c>
      <c r="F23" s="6" t="str">
        <f>Pins!$C$40</f>
        <v>Plus</v>
      </c>
    </row>
    <row r="24" spans="2:6" x14ac:dyDescent="0.25">
      <c r="B24" s="19"/>
      <c r="C24" s="6" t="str">
        <f>Pins!C10</f>
        <v>Pin-33 GPIO13</v>
      </c>
      <c r="D24" s="6"/>
      <c r="E24" s="6" t="str">
        <f>'Ground unit components'!B26</f>
        <v>RSSI LED3</v>
      </c>
      <c r="F24" s="6" t="str">
        <f>Pins!$C$40</f>
        <v>Plus</v>
      </c>
    </row>
    <row r="25" spans="2:6" x14ac:dyDescent="0.25">
      <c r="B25" s="19"/>
      <c r="C25" s="6" t="str">
        <f>Pins!C11</f>
        <v>Pin-34 Gnd</v>
      </c>
      <c r="D25" s="6"/>
      <c r="E25" s="6" t="str">
        <f>'Ground unit components'!B27</f>
        <v>RSSI LED4</v>
      </c>
      <c r="F25" s="6" t="str">
        <f>Pins!$C$40</f>
        <v>Plus</v>
      </c>
    </row>
    <row r="26" spans="2:6" x14ac:dyDescent="0.25">
      <c r="B26" s="19"/>
      <c r="C26" s="6" t="str">
        <f>Pins!C12</f>
        <v>Pin-35 GPIO19</v>
      </c>
      <c r="D26" s="6"/>
      <c r="E26" s="6" t="str">
        <f>'Ground unit components'!B28</f>
        <v>RSSI LED5</v>
      </c>
      <c r="F26" s="6" t="str">
        <f>Pins!$C$40</f>
        <v>Plus</v>
      </c>
    </row>
    <row r="27" spans="2:6" x14ac:dyDescent="0.25">
      <c r="B27" s="20"/>
      <c r="C27" s="7" t="str">
        <f>Components!$B$15</f>
        <v>USB-A connector</v>
      </c>
      <c r="D27" s="7"/>
      <c r="E27" s="7" t="str">
        <f>'Ground unit components'!B18</f>
        <v>RPi USB connector</v>
      </c>
      <c r="F27" s="7"/>
    </row>
    <row r="28" spans="2:6" x14ac:dyDescent="0.25">
      <c r="B28" s="4" t="str">
        <f>'Ground unit components'!$B$4</f>
        <v>Radio</v>
      </c>
      <c r="C28" s="2" t="str">
        <f>Components!B16</f>
        <v>USB-C connector</v>
      </c>
      <c r="D28" s="2"/>
      <c r="E28" s="2" t="str">
        <f>'Ground unit components'!B19</f>
        <v>Radio USB connector</v>
      </c>
      <c r="F28" s="2"/>
    </row>
    <row r="29" spans="2:6" x14ac:dyDescent="0.25">
      <c r="B29" s="18" t="str">
        <f>'Ground unit components'!$B$13</f>
        <v>Left IO processor</v>
      </c>
      <c r="C29" s="18" t="str">
        <f>Pins!$C$49</f>
        <v>GND1</v>
      </c>
      <c r="D29" s="6"/>
      <c r="E29" s="6" t="str">
        <f>'Ground unit components'!$B$5</f>
        <v>Left Joystick</v>
      </c>
      <c r="F29" s="6" t="str">
        <f>Pins!$C$34</f>
        <v>Vert Gnd</v>
      </c>
    </row>
    <row r="30" spans="2:6" x14ac:dyDescent="0.25">
      <c r="B30" s="19"/>
      <c r="C30" s="19"/>
      <c r="D30" s="6"/>
      <c r="E30" s="6" t="str">
        <f>'Ground unit components'!$B$5</f>
        <v>Left Joystick</v>
      </c>
      <c r="F30" s="6" t="str">
        <f>Pins!$C$31</f>
        <v>Horiz Gnd</v>
      </c>
    </row>
    <row r="31" spans="2:6" x14ac:dyDescent="0.25">
      <c r="B31" s="19"/>
      <c r="C31" s="19"/>
      <c r="D31" s="6"/>
      <c r="E31" s="6" t="str">
        <f>'Ground unit components'!$B$7</f>
        <v>Left mode switch</v>
      </c>
      <c r="F31" s="6" t="str">
        <f>Pins!$C$43</f>
        <v>Centre</v>
      </c>
    </row>
    <row r="32" spans="2:6" x14ac:dyDescent="0.25">
      <c r="B32" s="19"/>
      <c r="C32" s="19"/>
      <c r="D32" s="6"/>
      <c r="E32" s="6" t="str">
        <f>'Ground unit components'!$B$9</f>
        <v>Left spare switch</v>
      </c>
      <c r="F32" s="6" t="str">
        <f>Pins!$C$46</f>
        <v>Centre</v>
      </c>
    </row>
    <row r="33" spans="2:6" x14ac:dyDescent="0.25">
      <c r="B33" s="19"/>
      <c r="C33" s="19"/>
      <c r="D33" s="6"/>
      <c r="E33" s="6" t="str">
        <f>'Ground unit components'!$B$11</f>
        <v>Left kill switch</v>
      </c>
      <c r="F33" s="6" t="str">
        <f>Pins!$C$46</f>
        <v>Centre</v>
      </c>
    </row>
    <row r="34" spans="2:6" x14ac:dyDescent="0.25">
      <c r="B34" s="19"/>
      <c r="C34" s="6" t="str">
        <f>Pins!$C$60</f>
        <v>GP13</v>
      </c>
      <c r="D34" s="6"/>
      <c r="E34" s="8" t="s">
        <v>95</v>
      </c>
      <c r="F34" s="6" t="s">
        <v>94</v>
      </c>
    </row>
    <row r="35" spans="2:6" x14ac:dyDescent="0.25">
      <c r="B35" s="19"/>
      <c r="C35" s="6" t="str">
        <f>Pins!$C$61</f>
        <v>GP0</v>
      </c>
      <c r="D35" s="6"/>
      <c r="E35" s="6" t="str">
        <f>'Ground unit components'!$B$13</f>
        <v>Left IO processor</v>
      </c>
      <c r="F35" s="6" t="str">
        <f>Pins!$C$62</f>
        <v>GP1</v>
      </c>
    </row>
    <row r="36" spans="2:6" x14ac:dyDescent="0.25">
      <c r="B36" s="19"/>
      <c r="C36" s="6" t="str">
        <f>Pins!$C$48</f>
        <v>Vbus</v>
      </c>
      <c r="D36" s="6"/>
      <c r="E36" s="6" t="str">
        <f>'Ground unit components'!$B$13</f>
        <v>Left IO processor</v>
      </c>
      <c r="F36" s="6" t="str">
        <f>Pins!$C$52</f>
        <v>ADC_REF</v>
      </c>
    </row>
    <row r="37" spans="2:6" x14ac:dyDescent="0.25">
      <c r="B37" s="20"/>
      <c r="C37" s="7" t="str">
        <f>Pins!$C$49</f>
        <v>GND1</v>
      </c>
      <c r="D37" s="7"/>
      <c r="E37" s="7" t="str">
        <f>'Ground unit components'!$B$13</f>
        <v>Left IO processor</v>
      </c>
      <c r="F37" s="7" t="str">
        <f>Pins!$C$53</f>
        <v>AGND</v>
      </c>
    </row>
    <row r="38" spans="2:6" x14ac:dyDescent="0.25">
      <c r="B38" s="25" t="str">
        <f>'Ground unit components'!$B$5</f>
        <v>Left Joystick</v>
      </c>
      <c r="C38" s="5" t="str">
        <f>Pins!$C$32</f>
        <v>Horiz Signal</v>
      </c>
      <c r="D38" s="5"/>
      <c r="E38" s="5" t="str">
        <f>'Ground unit components'!$B$13</f>
        <v>Left IO processor</v>
      </c>
      <c r="F38" s="5" t="str">
        <f>Pins!$C$55</f>
        <v>GP26_A0</v>
      </c>
    </row>
    <row r="39" spans="2:6" x14ac:dyDescent="0.25">
      <c r="B39" s="26"/>
      <c r="C39" s="7" t="str">
        <f>Pins!$C$35</f>
        <v>Vert Signal</v>
      </c>
      <c r="D39" s="7"/>
      <c r="E39" s="7" t="str">
        <f>'Ground unit components'!$B$13</f>
        <v>Left IO processor</v>
      </c>
      <c r="F39" s="7" t="str">
        <f>Pins!$C$54</f>
        <v>GP27_A1</v>
      </c>
    </row>
    <row r="40" spans="2:6" x14ac:dyDescent="0.25">
      <c r="B40" s="18" t="str">
        <f>'Ground unit components'!$B$7</f>
        <v>Left mode switch</v>
      </c>
      <c r="C40" s="5" t="str">
        <f>Pins!$C$42</f>
        <v>Top</v>
      </c>
      <c r="D40" s="5"/>
      <c r="E40" s="5" t="str">
        <f>'Ground unit components'!$B$13</f>
        <v>Left IO processor</v>
      </c>
      <c r="F40" s="5" t="str">
        <f>Pins!$C$58</f>
        <v>GP19</v>
      </c>
    </row>
    <row r="41" spans="2:6" x14ac:dyDescent="0.25">
      <c r="B41" s="19"/>
      <c r="C41" s="7" t="str">
        <f>Pins!$C$44</f>
        <v>Bottom</v>
      </c>
      <c r="D41" s="7"/>
      <c r="E41" s="7" t="str">
        <f>'Ground unit components'!$B$13</f>
        <v>Left IO processor</v>
      </c>
      <c r="F41" s="7" t="str">
        <f>Pins!$C$57</f>
        <v>GP20</v>
      </c>
    </row>
    <row r="42" spans="2:6" x14ac:dyDescent="0.25">
      <c r="B42" s="19"/>
      <c r="C42" s="18" t="str">
        <f>Pins!$C$43</f>
        <v>Centre</v>
      </c>
      <c r="D42" s="5"/>
      <c r="E42" s="5" t="str">
        <f>'Ground unit components'!B21</f>
        <v>Power-on LED</v>
      </c>
      <c r="F42" s="5" t="str">
        <f>Pins!C37</f>
        <v>Minus</v>
      </c>
    </row>
    <row r="43" spans="2:6" x14ac:dyDescent="0.25">
      <c r="B43" s="19"/>
      <c r="C43" s="19"/>
      <c r="D43" s="6"/>
      <c r="E43" s="6" t="str">
        <f>'Ground unit components'!B22</f>
        <v xml:space="preserve">RC LED </v>
      </c>
      <c r="F43" s="6" t="str">
        <f>Pins!$C$39</f>
        <v>Minus</v>
      </c>
    </row>
    <row r="44" spans="2:6" x14ac:dyDescent="0.25">
      <c r="B44" s="19"/>
      <c r="C44" s="19"/>
      <c r="D44" s="6"/>
      <c r="E44" s="6" t="str">
        <f>'Ground unit components'!B23</f>
        <v xml:space="preserve">Mavlink LED </v>
      </c>
      <c r="F44" s="6" t="str">
        <f>Pins!$C$39</f>
        <v>Minus</v>
      </c>
    </row>
    <row r="45" spans="2:6" x14ac:dyDescent="0.25">
      <c r="B45" s="19"/>
      <c r="C45" s="19"/>
      <c r="D45" s="6"/>
      <c r="E45" s="6" t="str">
        <f>'Ground unit components'!B24</f>
        <v>RSSI LED1</v>
      </c>
      <c r="F45" s="6" t="str">
        <f>Pins!$C$39</f>
        <v>Minus</v>
      </c>
    </row>
    <row r="46" spans="2:6" x14ac:dyDescent="0.25">
      <c r="B46" s="19"/>
      <c r="C46" s="19"/>
      <c r="D46" s="6"/>
      <c r="E46" s="6" t="str">
        <f>'Ground unit components'!B25</f>
        <v>RSSI LED2</v>
      </c>
      <c r="F46" s="6" t="str">
        <f>Pins!$C$39</f>
        <v>Minus</v>
      </c>
    </row>
    <row r="47" spans="2:6" x14ac:dyDescent="0.25">
      <c r="B47" s="19"/>
      <c r="C47" s="19"/>
      <c r="D47" s="6"/>
      <c r="E47" s="6" t="str">
        <f>'Ground unit components'!B26</f>
        <v>RSSI LED3</v>
      </c>
      <c r="F47" s="6" t="str">
        <f>Pins!$C$39</f>
        <v>Minus</v>
      </c>
    </row>
    <row r="48" spans="2:6" x14ac:dyDescent="0.25">
      <c r="B48" s="19"/>
      <c r="C48" s="19"/>
      <c r="D48" s="6"/>
      <c r="E48" s="6" t="str">
        <f>'Ground unit components'!B27</f>
        <v>RSSI LED4</v>
      </c>
      <c r="F48" s="6" t="str">
        <f>Pins!$C$39</f>
        <v>Minus</v>
      </c>
    </row>
    <row r="49" spans="2:6" x14ac:dyDescent="0.25">
      <c r="B49" s="20"/>
      <c r="C49" s="20"/>
      <c r="D49" s="7"/>
      <c r="E49" s="7" t="str">
        <f>'Ground unit components'!B28</f>
        <v>RSSI LED5</v>
      </c>
      <c r="F49" s="7" t="str">
        <f>Pins!$C$39</f>
        <v>Minus</v>
      </c>
    </row>
    <row r="50" spans="2:6" x14ac:dyDescent="0.25">
      <c r="B50" s="9" t="str">
        <f>'Ground unit components'!$B$9</f>
        <v>Left spare switch</v>
      </c>
      <c r="C50" s="5" t="str">
        <f>Pins!$C$42</f>
        <v>Top</v>
      </c>
      <c r="D50" s="2"/>
      <c r="E50" s="7" t="str">
        <f>'Ground unit components'!$B$13</f>
        <v>Left IO processor</v>
      </c>
      <c r="F50" s="7" t="str">
        <f>Pins!$C$59</f>
        <v>GP18</v>
      </c>
    </row>
    <row r="51" spans="2:6" x14ac:dyDescent="0.25">
      <c r="B51" s="9" t="str">
        <f>'Ground unit components'!$B$11</f>
        <v>Left kill switch</v>
      </c>
      <c r="C51" s="2" t="str">
        <f>Pins!$C$42</f>
        <v>Top</v>
      </c>
      <c r="D51" s="2"/>
      <c r="E51" s="7" t="str">
        <f>'Ground unit components'!$B$13</f>
        <v>Left IO processor</v>
      </c>
      <c r="F51" s="7" t="str">
        <f>Pins!$C$56</f>
        <v>GP21</v>
      </c>
    </row>
    <row r="52" spans="2:6" x14ac:dyDescent="0.25">
      <c r="B52" s="18" t="str">
        <f>'Ground unit components'!$B$14</f>
        <v>Right IO processor</v>
      </c>
      <c r="C52" s="18" t="str">
        <f>Pins!$C$49</f>
        <v>GND1</v>
      </c>
      <c r="D52" s="6"/>
      <c r="E52" s="6" t="str">
        <f>'Ground unit components'!$B$6</f>
        <v>Right Joystick</v>
      </c>
      <c r="F52" s="6" t="str">
        <f>Pins!$C$34</f>
        <v>Vert Gnd</v>
      </c>
    </row>
    <row r="53" spans="2:6" x14ac:dyDescent="0.25">
      <c r="B53" s="19"/>
      <c r="C53" s="19"/>
      <c r="D53" s="6"/>
      <c r="E53" s="6" t="str">
        <f>'Ground unit components'!$B$6</f>
        <v>Right Joystick</v>
      </c>
      <c r="F53" s="6" t="str">
        <f>Pins!$C$31</f>
        <v>Horiz Gnd</v>
      </c>
    </row>
    <row r="54" spans="2:6" x14ac:dyDescent="0.25">
      <c r="B54" s="19"/>
      <c r="C54" s="19"/>
      <c r="D54" s="6"/>
      <c r="E54" s="6" t="str">
        <f>'Ground unit components'!$B$8</f>
        <v>Right mode switch</v>
      </c>
      <c r="F54" s="6" t="str">
        <f>Pins!$C$43</f>
        <v>Centre</v>
      </c>
    </row>
    <row r="55" spans="2:6" x14ac:dyDescent="0.25">
      <c r="B55" s="19"/>
      <c r="C55" s="19"/>
      <c r="D55" s="6"/>
      <c r="E55" s="6" t="str">
        <f>'Ground unit components'!$B$10</f>
        <v>Right spare switch</v>
      </c>
      <c r="F55" s="6" t="str">
        <f>Pins!$C$46</f>
        <v>Centre</v>
      </c>
    </row>
    <row r="56" spans="2:6" x14ac:dyDescent="0.25">
      <c r="B56" s="19"/>
      <c r="C56" s="19"/>
      <c r="D56" s="6"/>
      <c r="E56" s="6" t="str">
        <f>'Ground unit components'!$B$12</f>
        <v>Right kill switch</v>
      </c>
      <c r="F56" s="6" t="str">
        <f>Pins!$C$46</f>
        <v>Centre</v>
      </c>
    </row>
    <row r="57" spans="2:6" x14ac:dyDescent="0.25">
      <c r="B57" s="19"/>
      <c r="C57" s="6" t="str">
        <f>Pins!$C$60</f>
        <v>GP13</v>
      </c>
      <c r="D57" s="6"/>
      <c r="E57" s="6" t="str">
        <f>'Ground unit components'!$B$14</f>
        <v>Right IO processor</v>
      </c>
      <c r="F57" s="6" t="str">
        <f>Pins!C51</f>
        <v>GND3</v>
      </c>
    </row>
    <row r="58" spans="2:6" x14ac:dyDescent="0.25">
      <c r="B58" s="19"/>
      <c r="C58" s="6" t="str">
        <f>Pins!$C$61</f>
        <v>GP0</v>
      </c>
      <c r="D58" s="6"/>
      <c r="E58" s="6" t="str">
        <f>'Ground unit components'!$B$3</f>
        <v>RPi</v>
      </c>
      <c r="F58" s="6" t="str">
        <f>Pins!$C$7</f>
        <v>Pin-10 RX GPIO15</v>
      </c>
    </row>
    <row r="59" spans="2:6" x14ac:dyDescent="0.25">
      <c r="B59" s="19"/>
      <c r="C59" s="6" t="str">
        <f>Pins!$C$48</f>
        <v>Vbus</v>
      </c>
      <c r="D59" s="6"/>
      <c r="E59" s="6" t="str">
        <f>'Ground unit components'!$B$14</f>
        <v>Right IO processor</v>
      </c>
      <c r="F59" s="6" t="str">
        <f>Pins!$C$52</f>
        <v>ADC_REF</v>
      </c>
    </row>
    <row r="60" spans="2:6" x14ac:dyDescent="0.25">
      <c r="B60" s="20"/>
      <c r="C60" s="7" t="str">
        <f>Pins!$C$49</f>
        <v>GND1</v>
      </c>
      <c r="D60" s="7"/>
      <c r="E60" s="7" t="str">
        <f>'Ground unit components'!$B$14</f>
        <v>Right IO processor</v>
      </c>
      <c r="F60" s="7" t="str">
        <f>Pins!$C$53</f>
        <v>AGND</v>
      </c>
    </row>
    <row r="61" spans="2:6" x14ac:dyDescent="0.25">
      <c r="B61" s="25" t="str">
        <f>'Ground unit components'!$B$6</f>
        <v>Right Joystick</v>
      </c>
      <c r="C61" s="5" t="str">
        <f>Pins!$C$32</f>
        <v>Horiz Signal</v>
      </c>
      <c r="D61" s="5"/>
      <c r="E61" s="5" t="str">
        <f>'Ground unit components'!$B$14</f>
        <v>Right IO processor</v>
      </c>
      <c r="F61" s="5" t="str">
        <f>Pins!$C$55</f>
        <v>GP26_A0</v>
      </c>
    </row>
    <row r="62" spans="2:6" x14ac:dyDescent="0.25">
      <c r="B62" s="26"/>
      <c r="C62" s="7" t="str">
        <f>Pins!$C$35</f>
        <v>Vert Signal</v>
      </c>
      <c r="D62" s="7"/>
      <c r="E62" s="7" t="str">
        <f>'Ground unit components'!$B$14</f>
        <v>Right IO processor</v>
      </c>
      <c r="F62" s="7" t="str">
        <f>Pins!$C$54</f>
        <v>GP27_A1</v>
      </c>
    </row>
    <row r="63" spans="2:6" x14ac:dyDescent="0.25">
      <c r="B63" s="18" t="str">
        <f>'Ground unit components'!$B$8</f>
        <v>Right mode switch</v>
      </c>
      <c r="C63" s="5" t="str">
        <f>Pins!$C$42</f>
        <v>Top</v>
      </c>
      <c r="D63" s="5"/>
      <c r="E63" s="5" t="str">
        <f>'Ground unit components'!$B$13</f>
        <v>Left IO processor</v>
      </c>
      <c r="F63" s="5" t="str">
        <f>Pins!$C$58</f>
        <v>GP19</v>
      </c>
    </row>
    <row r="64" spans="2:6" x14ac:dyDescent="0.25">
      <c r="B64" s="20"/>
      <c r="C64" s="7" t="str">
        <f>Pins!$C$44</f>
        <v>Bottom</v>
      </c>
      <c r="D64" s="7"/>
      <c r="E64" s="7" t="str">
        <f>'Ground unit components'!$B$13</f>
        <v>Left IO processor</v>
      </c>
      <c r="F64" s="7" t="str">
        <f>Pins!$C$57</f>
        <v>GP20</v>
      </c>
    </row>
    <row r="65" spans="2:6" x14ac:dyDescent="0.25">
      <c r="B65" s="9" t="str">
        <f>'Ground unit components'!$B$10</f>
        <v>Right spare switch</v>
      </c>
      <c r="C65" s="5" t="str">
        <f>Pins!$C$42</f>
        <v>Top</v>
      </c>
      <c r="D65" s="2"/>
      <c r="E65" s="7" t="str">
        <f>'Ground unit components'!$B$13</f>
        <v>Left IO processor</v>
      </c>
      <c r="F65" s="7" t="str">
        <f>Pins!$C$59</f>
        <v>GP18</v>
      </c>
    </row>
    <row r="66" spans="2:6" x14ac:dyDescent="0.25">
      <c r="B66" s="9" t="str">
        <f>'Ground unit components'!$B$12</f>
        <v>Right kill switch</v>
      </c>
      <c r="C66" s="2" t="str">
        <f>Pins!$C$42</f>
        <v>Top</v>
      </c>
      <c r="D66" s="2"/>
      <c r="E66" s="7" t="str">
        <f>'Ground unit components'!$B$13</f>
        <v>Left IO processor</v>
      </c>
      <c r="F66" s="7" t="str">
        <f>Pins!$C$56</f>
        <v>GP21</v>
      </c>
    </row>
    <row r="67" spans="2:6" x14ac:dyDescent="0.25">
      <c r="B67" s="16" t="str">
        <f>'Ground unit components'!$B$19</f>
        <v>Radio USB connector</v>
      </c>
      <c r="C67" s="18" t="str">
        <f>Pins!$C$20</f>
        <v>5V</v>
      </c>
      <c r="D67" s="5"/>
      <c r="E67" s="5" t="str">
        <f>'Ground unit components'!$B$18</f>
        <v>RPi USB connector</v>
      </c>
      <c r="F67" s="5" t="str">
        <f>Pins!$C$16</f>
        <v>5V</v>
      </c>
    </row>
    <row r="68" spans="2:6" x14ac:dyDescent="0.25">
      <c r="B68" s="16"/>
      <c r="C68" s="19"/>
      <c r="D68" s="6"/>
      <c r="E68" s="6" t="str">
        <f>'Ground unit components'!$B$17</f>
        <v>Capacitor</v>
      </c>
      <c r="F68" s="6" t="str">
        <f>Pins!C24</f>
        <v>Plus</v>
      </c>
    </row>
    <row r="69" spans="2:6" x14ac:dyDescent="0.25">
      <c r="B69" s="16"/>
      <c r="C69" s="6" t="str">
        <f>Pins!C21</f>
        <v>D-</v>
      </c>
      <c r="D69" s="6"/>
      <c r="E69" s="6" t="str">
        <f>'Ground unit components'!$B$18</f>
        <v>RPi USB connector</v>
      </c>
      <c r="F69" s="6" t="str">
        <f>Pins!C17</f>
        <v>D-</v>
      </c>
    </row>
    <row r="70" spans="2:6" x14ac:dyDescent="0.25">
      <c r="B70" s="16"/>
      <c r="C70" s="6" t="str">
        <f>Pins!C22</f>
        <v>D+</v>
      </c>
      <c r="D70" s="6"/>
      <c r="E70" s="6" t="str">
        <f>'Ground unit components'!$B$18</f>
        <v>RPi USB connector</v>
      </c>
      <c r="F70" s="6" t="str">
        <f>Pins!C18</f>
        <v>D+</v>
      </c>
    </row>
    <row r="71" spans="2:6" x14ac:dyDescent="0.25">
      <c r="B71" s="16"/>
      <c r="C71" s="19" t="str">
        <f>Pins!$C$23</f>
        <v>Gnd</v>
      </c>
      <c r="D71" s="6"/>
      <c r="E71" s="6" t="str">
        <f>'Ground unit components'!$B$18</f>
        <v>RPi USB connector</v>
      </c>
      <c r="F71" s="6" t="str">
        <f>Pins!$C$19</f>
        <v>Gnd</v>
      </c>
    </row>
    <row r="72" spans="2:6" x14ac:dyDescent="0.25">
      <c r="B72" s="16"/>
      <c r="C72" s="20"/>
      <c r="D72" s="7"/>
      <c r="E72" s="7" t="str">
        <f>'Ground unit components'!$B$17</f>
        <v>Capacitor</v>
      </c>
      <c r="F72" s="7" t="str">
        <f>Pins!C25</f>
        <v>Minus</v>
      </c>
    </row>
  </sheetData>
  <mergeCells count="18">
    <mergeCell ref="B1:C1"/>
    <mergeCell ref="E1:F1"/>
    <mergeCell ref="B3:B4"/>
    <mergeCell ref="B5:B6"/>
    <mergeCell ref="B7:B15"/>
    <mergeCell ref="C52:C56"/>
    <mergeCell ref="B40:B49"/>
    <mergeCell ref="C42:C49"/>
    <mergeCell ref="B67:B72"/>
    <mergeCell ref="C67:C68"/>
    <mergeCell ref="C71:C72"/>
    <mergeCell ref="B16:B27"/>
    <mergeCell ref="B29:B37"/>
    <mergeCell ref="C29:C33"/>
    <mergeCell ref="B38:B39"/>
    <mergeCell ref="B61:B62"/>
    <mergeCell ref="B63:B64"/>
    <mergeCell ref="B52:B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EC1D-A818-4DEE-90CF-EBC84CB5ECA8}">
  <dimension ref="B2:C12"/>
  <sheetViews>
    <sheetView workbookViewId="0">
      <selection activeCell="I24" sqref="I24"/>
    </sheetView>
  </sheetViews>
  <sheetFormatPr defaultRowHeight="15" x14ac:dyDescent="0.25"/>
  <cols>
    <col min="2" max="2" width="21.7109375" bestFit="1" customWidth="1"/>
    <col min="3" max="3" width="45.85546875" bestFit="1" customWidth="1"/>
  </cols>
  <sheetData>
    <row r="2" spans="2:3" x14ac:dyDescent="0.25">
      <c r="B2" s="1" t="s">
        <v>11</v>
      </c>
      <c r="C2" s="1" t="s">
        <v>10</v>
      </c>
    </row>
    <row r="3" spans="2:3" x14ac:dyDescent="0.25">
      <c r="B3" t="s">
        <v>15</v>
      </c>
      <c r="C3" t="str">
        <f>Components!B$3</f>
        <v>Raspberry Pi 4B</v>
      </c>
    </row>
    <row r="4" spans="2:3" x14ac:dyDescent="0.25">
      <c r="B4" t="s">
        <v>16</v>
      </c>
      <c r="C4" t="str">
        <f>Components!B$2</f>
        <v>Alfa AWUS036ACH Dual Band USB Adaptor AC1200</v>
      </c>
    </row>
    <row r="5" spans="2:3" x14ac:dyDescent="0.25">
      <c r="B5" t="s">
        <v>27</v>
      </c>
      <c r="C5" t="str">
        <f>Components!B$11</f>
        <v>XT30 socket</v>
      </c>
    </row>
    <row r="6" spans="2:3" x14ac:dyDescent="0.25">
      <c r="B6" t="s">
        <v>31</v>
      </c>
      <c r="C6" t="str">
        <f>Components!B$14</f>
        <v>470uF capacitor</v>
      </c>
    </row>
    <row r="7" spans="2:3" x14ac:dyDescent="0.25">
      <c r="B7" t="s">
        <v>32</v>
      </c>
      <c r="C7" t="str">
        <f>Components!B$15</f>
        <v>USB-A connector</v>
      </c>
    </row>
    <row r="8" spans="2:3" x14ac:dyDescent="0.25">
      <c r="B8" t="s">
        <v>33</v>
      </c>
      <c r="C8" t="str">
        <f>Components!B$16</f>
        <v>USB-C connector</v>
      </c>
    </row>
    <row r="9" spans="2:3" x14ac:dyDescent="0.25">
      <c r="B9" t="s">
        <v>35</v>
      </c>
      <c r="C9" t="str">
        <f>Components!B$17</f>
        <v>MATEK MICRO BEC 6-60V TO 5V/9V/12V</v>
      </c>
    </row>
    <row r="10" spans="2:3" x14ac:dyDescent="0.25">
      <c r="B10" t="s">
        <v>86</v>
      </c>
      <c r="C10" t="str">
        <f>Components!$B$9</f>
        <v>Green LED</v>
      </c>
    </row>
    <row r="11" spans="2:3" x14ac:dyDescent="0.25">
      <c r="B11" t="s">
        <v>87</v>
      </c>
      <c r="C11" t="str">
        <f>Components!$B$9</f>
        <v>Green LED</v>
      </c>
    </row>
    <row r="12" spans="2:3" x14ac:dyDescent="0.25">
      <c r="B12" t="s">
        <v>98</v>
      </c>
      <c r="C12" t="str">
        <f>Components!$B$13</f>
        <v>Picam V3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F566-CEAE-4A75-9509-93A4C9BD0F83}">
  <dimension ref="B2:F30"/>
  <sheetViews>
    <sheetView workbookViewId="0">
      <selection activeCell="L26" sqref="L26"/>
    </sheetView>
  </sheetViews>
  <sheetFormatPr defaultRowHeight="15" x14ac:dyDescent="0.25"/>
  <cols>
    <col min="2" max="2" width="21.7109375" bestFit="1" customWidth="1"/>
    <col min="3" max="3" width="36.42578125" bestFit="1" customWidth="1"/>
    <col min="4" max="4" width="3.42578125" customWidth="1"/>
    <col min="5" max="5" width="19.42578125" bestFit="1" customWidth="1"/>
    <col min="6" max="6" width="16.28515625" bestFit="1" customWidth="1"/>
  </cols>
  <sheetData>
    <row r="2" spans="2:6" x14ac:dyDescent="0.25">
      <c r="B2" s="17" t="s">
        <v>82</v>
      </c>
      <c r="C2" s="17"/>
      <c r="D2" s="3"/>
      <c r="E2" s="17" t="s">
        <v>83</v>
      </c>
      <c r="F2" s="17"/>
    </row>
    <row r="3" spans="2:6" x14ac:dyDescent="0.25">
      <c r="B3" s="3" t="s">
        <v>11</v>
      </c>
      <c r="C3" s="3" t="s">
        <v>36</v>
      </c>
      <c r="D3" s="12"/>
      <c r="E3" s="3" t="s">
        <v>11</v>
      </c>
      <c r="F3" s="3" t="s">
        <v>36</v>
      </c>
    </row>
    <row r="4" spans="2:6" x14ac:dyDescent="0.25">
      <c r="B4" s="18" t="str">
        <f>'Air unit components'!B5</f>
        <v>Small power connector</v>
      </c>
      <c r="C4" s="5" t="str">
        <f>Pins!$C$63</f>
        <v>Plus</v>
      </c>
      <c r="D4" s="14"/>
      <c r="E4" s="5" t="str">
        <f>'Ground unit components'!$B$30</f>
        <v>XT60 Power</v>
      </c>
      <c r="F4" s="5" t="str">
        <f>Pins!$C$65</f>
        <v>Plus</v>
      </c>
    </row>
    <row r="5" spans="2:6" x14ac:dyDescent="0.25">
      <c r="B5" s="19"/>
      <c r="C5" s="6" t="str">
        <f>Pins!$C$64</f>
        <v>Minus</v>
      </c>
      <c r="D5" s="14"/>
      <c r="E5" s="6" t="str">
        <f>'Ground unit components'!$B$30</f>
        <v>XT60 Power</v>
      </c>
      <c r="F5" s="6" t="str">
        <f>Pins!$C$66</f>
        <v>Minus</v>
      </c>
    </row>
    <row r="6" spans="2:6" x14ac:dyDescent="0.25">
      <c r="B6" s="18" t="str">
        <f>'Air unit components'!B9</f>
        <v>BEC</v>
      </c>
      <c r="C6" s="5" t="str">
        <f>Pins!$C$27</f>
        <v>Gnd1</v>
      </c>
      <c r="D6" s="14"/>
      <c r="E6" t="str">
        <f>'Ground unit components'!$B$20</f>
        <v>BEC</v>
      </c>
      <c r="F6" s="5" t="str">
        <f>Pins!$C$28</f>
        <v>Gnd2</v>
      </c>
    </row>
    <row r="7" spans="2:6" x14ac:dyDescent="0.25">
      <c r="B7" s="19"/>
      <c r="C7" s="6" t="str">
        <f>Pins!$C$29</f>
        <v>V-out</v>
      </c>
      <c r="D7" s="14"/>
      <c r="E7" s="13" t="str">
        <f>'Ground unit components'!$B$3</f>
        <v>RPi</v>
      </c>
      <c r="F7" s="6" t="str">
        <f>Pins!$C$4</f>
        <v>Pin-4 5V</v>
      </c>
    </row>
    <row r="8" spans="2:6" x14ac:dyDescent="0.25">
      <c r="B8" s="19"/>
      <c r="C8" s="6" t="str">
        <f>Pins!$C$29</f>
        <v>V-out</v>
      </c>
      <c r="D8" s="14"/>
      <c r="E8" s="13" t="str">
        <f>'Ground unit components'!$B$19</f>
        <v>Radio USB connector</v>
      </c>
      <c r="F8" s="6" t="str">
        <f>Pins!C17</f>
        <v>D-</v>
      </c>
    </row>
    <row r="9" spans="2:6" x14ac:dyDescent="0.25">
      <c r="B9" s="19"/>
      <c r="C9" s="6" t="str">
        <f>Pins!$C$28</f>
        <v>Gnd2</v>
      </c>
      <c r="D9" s="14"/>
      <c r="E9" s="13" t="str">
        <f>'Ground unit components'!$B$3</f>
        <v>RPi</v>
      </c>
      <c r="F9" s="6" t="str">
        <f>Pins!$C$5</f>
        <v>Pin-6 Gnd</v>
      </c>
    </row>
    <row r="10" spans="2:6" x14ac:dyDescent="0.25">
      <c r="B10" s="19"/>
      <c r="C10" s="6" t="str">
        <f>Pins!$C$28</f>
        <v>Gnd2</v>
      </c>
      <c r="D10" s="14"/>
      <c r="E10" s="13" t="str">
        <f>'Ground unit components'!$B$19</f>
        <v>Radio USB connector</v>
      </c>
      <c r="F10" s="6" t="str">
        <f>Pins!C20</f>
        <v>5V</v>
      </c>
    </row>
    <row r="11" spans="2:6" x14ac:dyDescent="0.25">
      <c r="B11" s="18" t="str">
        <f>'Air unit components'!B3</f>
        <v>RPi</v>
      </c>
      <c r="C11" s="5" t="str">
        <f>Pins!$C$4</f>
        <v>Pin-4 5V</v>
      </c>
      <c r="D11" s="12"/>
      <c r="E11" s="5" t="str">
        <f>'Ground unit components'!$B$13</f>
        <v>Left IO processor</v>
      </c>
      <c r="F11" s="5" t="str">
        <f>Pins!$C$48</f>
        <v>Vbus</v>
      </c>
    </row>
    <row r="12" spans="2:6" x14ac:dyDescent="0.25">
      <c r="B12" s="19"/>
      <c r="C12" s="6" t="str">
        <f>Pins!$C$4</f>
        <v>Pin-4 5V</v>
      </c>
      <c r="D12" s="14"/>
      <c r="E12" s="6" t="str">
        <f>'Ground unit components'!$B$14</f>
        <v>Right IO processor</v>
      </c>
      <c r="F12" s="6" t="str">
        <f>Pins!$C$48</f>
        <v>Vbus</v>
      </c>
    </row>
    <row r="13" spans="2:6" x14ac:dyDescent="0.25">
      <c r="B13" s="19"/>
      <c r="C13" s="6" t="str">
        <f>Pins!$C$5</f>
        <v>Pin-6 Gnd</v>
      </c>
      <c r="D13" s="14"/>
      <c r="E13" s="6" t="str">
        <f>'Ground unit components'!$B$13</f>
        <v>Left IO processor</v>
      </c>
      <c r="F13" s="6" t="str">
        <f>Pins!$C$49</f>
        <v>GND1</v>
      </c>
    </row>
    <row r="14" spans="2:6" x14ac:dyDescent="0.25">
      <c r="B14" s="19"/>
      <c r="C14" s="6" t="str">
        <f>Pins!$C$5</f>
        <v>Pin-6 Gnd</v>
      </c>
      <c r="D14" s="14"/>
      <c r="E14" s="6" t="str">
        <f>'Ground unit components'!$B$14</f>
        <v>Right IO processor</v>
      </c>
      <c r="F14" s="6" t="str">
        <f>Pins!$C$49</f>
        <v>GND1</v>
      </c>
    </row>
    <row r="15" spans="2:6" x14ac:dyDescent="0.25">
      <c r="B15" s="19"/>
      <c r="C15" s="6" t="str">
        <f>Pins!$C$14</f>
        <v>Pin-38 GPIO20</v>
      </c>
      <c r="D15" s="6"/>
      <c r="E15" s="6" t="str">
        <f>'Ground unit components'!$B$22</f>
        <v xml:space="preserve">RC LED </v>
      </c>
      <c r="F15" s="6" t="str">
        <f>Pins!$C$38</f>
        <v>Plus</v>
      </c>
    </row>
    <row r="16" spans="2:6" x14ac:dyDescent="0.25">
      <c r="B16" s="19"/>
      <c r="C16" s="6" t="str">
        <f>Pins!$C$15</f>
        <v>Pin-40 GPIO21</v>
      </c>
      <c r="D16" s="6"/>
      <c r="E16" s="6" t="str">
        <f>'Ground unit components'!$B$23</f>
        <v xml:space="preserve">Mavlink LED </v>
      </c>
      <c r="F16" s="6" t="str">
        <f>Pins!$C$38</f>
        <v>Plus</v>
      </c>
    </row>
    <row r="17" spans="2:6" x14ac:dyDescent="0.25">
      <c r="B17" s="19"/>
      <c r="C17" s="6" t="str">
        <f>Pins!C9</f>
        <v>Pin-31 GPIO6</v>
      </c>
      <c r="D17" s="6"/>
      <c r="E17" s="6" t="str">
        <f>'Ground unit components'!B25</f>
        <v>RSSI LED2</v>
      </c>
      <c r="F17" s="6" t="str">
        <f>Pins!$C$40</f>
        <v>Plus</v>
      </c>
    </row>
    <row r="18" spans="2:6" x14ac:dyDescent="0.25">
      <c r="B18" s="19"/>
      <c r="C18" s="6" t="str">
        <f>Pins!C10</f>
        <v>Pin-33 GPIO13</v>
      </c>
      <c r="D18" s="6"/>
      <c r="E18" s="6" t="str">
        <f>'Ground unit components'!B26</f>
        <v>RSSI LED3</v>
      </c>
      <c r="F18" s="6" t="str">
        <f>Pins!$C$40</f>
        <v>Plus</v>
      </c>
    </row>
    <row r="19" spans="2:6" x14ac:dyDescent="0.25">
      <c r="B19" s="19"/>
      <c r="C19" s="6" t="str">
        <f>Pins!C11</f>
        <v>Pin-34 Gnd</v>
      </c>
      <c r="D19" s="6"/>
      <c r="E19" s="6" t="str">
        <f>'Ground unit components'!B27</f>
        <v>RSSI LED4</v>
      </c>
      <c r="F19" s="6" t="str">
        <f>Pins!$C$40</f>
        <v>Plus</v>
      </c>
    </row>
    <row r="20" spans="2:6" x14ac:dyDescent="0.25">
      <c r="B20" s="19"/>
      <c r="C20" s="6" t="str">
        <f>Pins!C12</f>
        <v>Pin-35 GPIO19</v>
      </c>
      <c r="D20" s="6"/>
      <c r="E20" s="6" t="str">
        <f>'Ground unit components'!B28</f>
        <v>RSSI LED5</v>
      </c>
      <c r="F20" s="6" t="str">
        <f>Pins!$C$40</f>
        <v>Plus</v>
      </c>
    </row>
    <row r="21" spans="2:6" x14ac:dyDescent="0.25">
      <c r="B21" s="19"/>
      <c r="C21" s="6" t="str">
        <f>Pins!C13</f>
        <v>Pin-37 GPIO26</v>
      </c>
      <c r="D21" s="6"/>
      <c r="E21" s="6" t="str">
        <f>'Ground unit components'!B29</f>
        <v>XT30 Power</v>
      </c>
      <c r="F21" s="6" t="str">
        <f>Pins!$C$40</f>
        <v>Plus</v>
      </c>
    </row>
    <row r="22" spans="2:6" x14ac:dyDescent="0.25">
      <c r="B22" s="20"/>
      <c r="C22" s="7" t="str">
        <f>Components!$B$15</f>
        <v>USB-A connector</v>
      </c>
      <c r="D22" s="7"/>
      <c r="E22" s="7" t="str">
        <f>'Air unit components'!B7</f>
        <v>RPi USB connector</v>
      </c>
      <c r="F22" s="7"/>
    </row>
    <row r="23" spans="2:6" x14ac:dyDescent="0.25">
      <c r="B23" s="4" t="str">
        <f>'Air unit components'!B4</f>
        <v>Radio</v>
      </c>
      <c r="C23" s="2" t="str">
        <f>Components!B16</f>
        <v>USB-C connector</v>
      </c>
      <c r="D23" s="2"/>
      <c r="E23" s="2" t="str">
        <f>B24</f>
        <v>Radio USB connector</v>
      </c>
      <c r="F23" s="2"/>
    </row>
    <row r="24" spans="2:6" x14ac:dyDescent="0.25">
      <c r="B24" s="16" t="str">
        <f>'Ground unit components'!$B$19</f>
        <v>Radio USB connector</v>
      </c>
      <c r="C24" s="10" t="str">
        <f>Pins!$C$20</f>
        <v>5V</v>
      </c>
      <c r="D24" s="5"/>
      <c r="E24" s="5" t="str">
        <f>'Ground unit components'!$B$18</f>
        <v>RPi USB connector</v>
      </c>
      <c r="F24" s="5" t="str">
        <f>Pins!$C$16</f>
        <v>5V</v>
      </c>
    </row>
    <row r="25" spans="2:6" x14ac:dyDescent="0.25">
      <c r="B25" s="16"/>
      <c r="C25" s="10" t="str">
        <f>Pins!$C$20</f>
        <v>5V</v>
      </c>
      <c r="D25" s="6"/>
      <c r="E25" s="6" t="str">
        <f>'Ground unit components'!$B$17</f>
        <v>Capacitor</v>
      </c>
      <c r="F25" s="6" t="str">
        <f>Pins!C25</f>
        <v>Minus</v>
      </c>
    </row>
    <row r="26" spans="2:6" x14ac:dyDescent="0.25">
      <c r="B26" s="16"/>
      <c r="C26" s="6" t="str">
        <f>Pins!C22</f>
        <v>D+</v>
      </c>
      <c r="D26" s="6"/>
      <c r="E26" s="6" t="str">
        <f>'Ground unit components'!$B$18</f>
        <v>RPi USB connector</v>
      </c>
      <c r="F26" s="6" t="str">
        <f>Pins!C18</f>
        <v>D+</v>
      </c>
    </row>
    <row r="27" spans="2:6" x14ac:dyDescent="0.25">
      <c r="B27" s="16"/>
      <c r="C27" s="6" t="str">
        <f>Pins!C23</f>
        <v>Gnd</v>
      </c>
      <c r="D27" s="6"/>
      <c r="E27" s="6" t="str">
        <f>'Ground unit components'!$B$18</f>
        <v>RPi USB connector</v>
      </c>
      <c r="F27" s="6" t="str">
        <f>Pins!C19</f>
        <v>Gnd</v>
      </c>
    </row>
    <row r="28" spans="2:6" x14ac:dyDescent="0.25">
      <c r="B28" s="16"/>
      <c r="C28" s="13" t="str">
        <f>Pins!$C$23</f>
        <v>Gnd</v>
      </c>
      <c r="D28" s="6"/>
      <c r="E28" s="6" t="str">
        <f>'Ground unit components'!$B$18</f>
        <v>RPi USB connector</v>
      </c>
      <c r="F28" s="6" t="str">
        <f>Pins!$C$19</f>
        <v>Gnd</v>
      </c>
    </row>
    <row r="29" spans="2:6" x14ac:dyDescent="0.25">
      <c r="B29" s="16"/>
      <c r="C29" s="13"/>
      <c r="D29" s="7"/>
      <c r="E29" s="7" t="str">
        <f>'Ground unit components'!$B$17</f>
        <v>Capacitor</v>
      </c>
      <c r="F29" s="7" t="str">
        <f>Pins!C26</f>
        <v>V-in</v>
      </c>
    </row>
    <row r="30" spans="2:6" x14ac:dyDescent="0.25">
      <c r="B30" s="2" t="str">
        <f>'Air unit components'!B12</f>
        <v>Camera</v>
      </c>
      <c r="C30" s="2"/>
      <c r="D30" s="2"/>
      <c r="E30" s="2"/>
      <c r="F30" s="2"/>
    </row>
  </sheetData>
  <mergeCells count="6">
    <mergeCell ref="B24:B29"/>
    <mergeCell ref="B2:C2"/>
    <mergeCell ref="E2:F2"/>
    <mergeCell ref="B4:B5"/>
    <mergeCell ref="B6:B10"/>
    <mergeCell ref="B1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Components</vt:lpstr>
      <vt:lpstr>Pins</vt:lpstr>
      <vt:lpstr>Ground unit components</vt:lpstr>
      <vt:lpstr>Ground unit connections</vt:lpstr>
      <vt:lpstr>Air unit components</vt:lpstr>
      <vt:lpstr>Air unit 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Wright</dc:creator>
  <cp:lastModifiedBy>Stephen Wright</cp:lastModifiedBy>
  <dcterms:created xsi:type="dcterms:W3CDTF">2015-06-05T18:17:20Z</dcterms:created>
  <dcterms:modified xsi:type="dcterms:W3CDTF">2026-06-25T08:02:10Z</dcterms:modified>
</cp:coreProperties>
</file>